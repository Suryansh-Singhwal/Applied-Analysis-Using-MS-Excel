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HP_PC\Documents\"/>
    </mc:Choice>
  </mc:AlternateContent>
  <xr:revisionPtr revIDLastSave="0" documentId="8_{6BA4A927-4E69-46D8-BF35-A44BDF7E67C2}" xr6:coauthVersionLast="47" xr6:coauthVersionMax="47" xr10:uidLastSave="{00000000-0000-0000-0000-000000000000}"/>
  <bookViews>
    <workbookView xWindow="-120" yWindow="-120" windowWidth="20730" windowHeight="11160" firstSheet="1" activeTab="5" xr2:uid="{72FF77FB-F56B-4D9C-8030-E76947A0FD03}"/>
  </bookViews>
  <sheets>
    <sheet name="fnp datasets" sheetId="2" state="hidden" r:id="rId1"/>
    <sheet name="Customers" sheetId="3" r:id="rId2"/>
    <sheet name="Orders" sheetId="4" r:id="rId3"/>
    <sheet name="Products" sheetId="5" r:id="rId4"/>
    <sheet name="Pivot_Tables" sheetId="1" r:id="rId5"/>
    <sheet name="Dashboard" sheetId="7" r:id="rId6"/>
  </sheets>
  <definedNames>
    <definedName name="ExternalData_1" localSheetId="0" hidden="1">'fnp datasets'!$A$1:$F$4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789" r:id="rId7"/>
    <pivotCache cacheId="800" r:id="rId8"/>
    <pivotCache cacheId="803" r:id="rId9"/>
    <pivotCache cacheId="806" r:id="rId10"/>
    <pivotCache cacheId="809" r:id="rId11"/>
    <pivotCache cacheId="812" r:id="rId12"/>
    <pivotCache cacheId="815" r:id="rId13"/>
    <pivotCache cacheId="818" r:id="rId14"/>
    <pivotCache cacheId="821" r:id="rId15"/>
    <pivotCache cacheId="824" r:id="rId16"/>
    <pivotCache cacheId="827" r:id="rId17"/>
  </pivotCaches>
  <fileRecoveryPr repairLoad="1"/>
  <extLst>
    <ext xmlns:x14="http://schemas.microsoft.com/office/spreadsheetml/2009/9/main" uri="{876F7934-8845-4945-9796-88D515C7AA90}">
      <x14:pivotCaches>
        <pivotCache cacheId="42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4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64201c7a-02c5-43d2-aa20-915492be200a" name="fnp datasets" connection="Query - fnp datasets"/>
          <x15:modelTable id="Customers_2e26c5e4-b139-40f4-a484-8972c7129a17" name="Customers" connection="Query - Customers"/>
          <x15:modelTable id="Orders_c04dc072-5fce-416b-a1f7-9ab64faea540" name="Orders" connection="Query - Orders"/>
          <x15:modelTable id="Products_17ecc78a-1630-4e3c-8e91-3a3c83df1f25"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1" l="1"/>
  <c r="I1" i="1"/>
  <c r="B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4CFB26-02CB-4530-AD78-B19D5AA8A1C8}"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9BE89F05-FA32-4B27-907B-CF68187677B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E5D9CD9-7B72-42F7-8CA0-ABF48D86B4C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30CFB62-2AD7-4C66-881F-F3D009D0FED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26C5196-8B77-49E1-9B93-6F649D4EF146}" name="Query - Customers" description="Connection to the 'Customers' query in the workbook." type="100" refreshedVersion="8" minRefreshableVersion="5">
    <extLst>
      <ext xmlns:x15="http://schemas.microsoft.com/office/spreadsheetml/2010/11/main" uri="{DE250136-89BD-433C-8126-D09CA5730AF9}">
        <x15:connection id="f1cf7c7f-23f8-4d0e-afc8-49bac4ec3ab7"/>
      </ext>
    </extLst>
  </connection>
  <connection id="6" xr16:uid="{BACB2673-7A40-42DD-9250-CDA8DAF44824}" name="Query - fnp datasets" description="Connection to the 'fnp datasets' query in the workbook." type="100" refreshedVersion="8" minRefreshableVersion="5">
    <extLst>
      <ext xmlns:x15="http://schemas.microsoft.com/office/spreadsheetml/2010/11/main" uri="{DE250136-89BD-433C-8126-D09CA5730AF9}">
        <x15:connection id="1c400cd8-9a2d-4ea8-8d4f-78a2cc4965ff"/>
      </ext>
    </extLst>
  </connection>
  <connection id="7" xr16:uid="{31FB930B-0C54-46E0-84D9-FC92C3B84816}" name="Query - Orders" description="Connection to the 'Orders' query in the workbook." type="100" refreshedVersion="8" minRefreshableVersion="5">
    <extLst>
      <ext xmlns:x15="http://schemas.microsoft.com/office/spreadsheetml/2010/11/main" uri="{DE250136-89BD-433C-8126-D09CA5730AF9}">
        <x15:connection id="c9419d83-83bb-4707-850b-6c73920aa12b"/>
      </ext>
    </extLst>
  </connection>
  <connection id="8" xr16:uid="{BEDB3523-DD22-4EA6-9CED-2B18BC8620F0}" name="Query - Products" description="Connection to the 'Products' query in the workbook." type="100" refreshedVersion="8" minRefreshableVersion="5">
    <extLst>
      <ext xmlns:x15="http://schemas.microsoft.com/office/spreadsheetml/2010/11/main" uri="{DE250136-89BD-433C-8126-D09CA5730AF9}">
        <x15:connection id="b563bdab-2738-4ca0-ad91-d5d6dfb15a71"/>
      </ext>
    </extLst>
  </connection>
  <connection id="9" xr16:uid="{830384DD-08EF-4E5E-8896-5A03CD20C2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<sst xmlns="http://schemas.openxmlformats.org/spreadsheetml/2006/main" count="6028" uniqueCount="949">
  <si>
    <t>Name</t>
  </si>
  <si>
    <t>Extension</t>
  </si>
  <si>
    <t>Date accessed</t>
  </si>
  <si>
    <t>Date modified</t>
  </si>
  <si>
    <t>Date created</t>
  </si>
  <si>
    <t>Folder Path</t>
  </si>
  <si>
    <t>customers.csv</t>
  </si>
  <si>
    <t>.csv</t>
  </si>
  <si>
    <t>E:\HP_PC\Downloads\FNP Sales &amp; Revenue Analytics\fnp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</si>
  <si>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</si>
  <si>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</si>
  <si>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</si>
  <si>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</si>
  <si>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</si>
  <si>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</si>
  <si>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</si>
  <si>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</si>
  <si>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</si>
  <si>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</si>
  <si>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</si>
  <si>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</si>
  <si>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</si>
  <si>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</si>
  <si>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</si>
  <si>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</si>
  <si>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</si>
  <si>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</si>
  <si>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</si>
  <si>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</si>
  <si>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</si>
  <si>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</si>
  <si>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</si>
  <si>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</si>
  <si>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</si>
  <si>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</si>
  <si>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</si>
  <si>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</si>
  <si>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</si>
  <si>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</si>
  <si>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</si>
  <si>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</si>
  <si>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</si>
  <si>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</si>
  <si>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</si>
  <si>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</si>
  <si>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</si>
  <si>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</si>
  <si>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</si>
  <si>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</si>
  <si>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</si>
  <si>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</si>
  <si>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</si>
  <si>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</si>
  <si>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</si>
  <si>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</si>
  <si>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</si>
  <si>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</si>
  <si>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</si>
  <si>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</si>
  <si>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</si>
  <si>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</si>
  <si>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</si>
  <si>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</si>
  <si>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</si>
  <si>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</si>
  <si>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</si>
  <si>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</si>
  <si>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</si>
  <si>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</si>
  <si>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</si>
  <si>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</si>
  <si>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</si>
  <si>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</si>
  <si>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</si>
  <si>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</si>
  <si>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</si>
  <si>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</si>
  <si>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</si>
  <si>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</si>
  <si>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</si>
  <si>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</si>
  <si>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</si>
  <si>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</si>
  <si>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</si>
  <si>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</si>
  <si>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</si>
  <si>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</si>
  <si>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</si>
  <si>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</si>
  <si>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</si>
  <si>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</si>
  <si>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</si>
  <si>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</si>
  <si>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</si>
  <si>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</si>
  <si>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</si>
  <si>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</si>
  <si>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</si>
  <si>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</si>
  <si>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</si>
  <si>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</si>
  <si>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</si>
  <si>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</si>
  <si>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</si>
  <si>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</si>
  <si>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</si>
  <si>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</si>
  <si>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</si>
  <si>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</si>
  <si>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</si>
  <si>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</si>
  <si>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</si>
  <si>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</si>
  <si>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</si>
  <si>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</si>
  <si>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</si>
  <si>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</si>
  <si>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</si>
  <si>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</si>
  <si>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</si>
  <si>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</si>
  <si>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</si>
  <si>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</si>
  <si>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</si>
  <si>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</si>
  <si>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</si>
  <si>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</si>
  <si>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</si>
  <si>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</si>
  <si>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</si>
  <si>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</si>
  <si>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</si>
  <si>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</si>
  <si>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</si>
  <si>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</si>
  <si>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</si>
  <si>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</si>
  <si>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</si>
  <si>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</si>
  <si>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</si>
  <si>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</si>
  <si>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</si>
  <si>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</si>
  <si>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</si>
  <si>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</si>
  <si>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</si>
  <si>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</si>
  <si>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</si>
  <si>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</si>
  <si>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</si>
  <si>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</si>
  <si>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</si>
  <si>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</si>
  <si>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</si>
  <si>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</si>
  <si>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</si>
  <si>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</si>
  <si>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</si>
  <si>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</si>
  <si>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</si>
  <si>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</si>
  <si>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</si>
  <si>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</si>
  <si>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</si>
  <si>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</si>
  <si>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</si>
  <si>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</si>
  <si>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</si>
  <si>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</si>
  <si>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</si>
  <si>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</si>
  <si>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</si>
  <si>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</si>
  <si>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</si>
  <si>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</si>
  <si>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</si>
  <si>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</si>
  <si>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</si>
  <si>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</si>
  <si>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</si>
  <si>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</si>
  <si>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</si>
  <si>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</si>
  <si>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</si>
  <si>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</si>
  <si>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</si>
  <si>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</si>
  <si>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</si>
  <si>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</si>
  <si>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</si>
  <si>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</si>
  <si>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</si>
  <si>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</si>
  <si>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</si>
  <si>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</si>
  <si>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</si>
  <si>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</si>
  <si>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</si>
  <si>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</si>
  <si>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</si>
  <si>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</si>
  <si>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</si>
  <si>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</si>
  <si>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</si>
  <si>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</si>
  <si>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</si>
  <si>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</si>
  <si>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</si>
  <si>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</si>
  <si>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</si>
  <si>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</si>
  <si>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</si>
  <si>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</si>
  <si>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</si>
  <si>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</si>
  <si>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</si>
  <si>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</si>
  <si>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</si>
  <si>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</si>
  <si>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</si>
  <si>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</si>
  <si>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</si>
  <si>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</si>
  <si>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</si>
  <si>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</si>
  <si>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</si>
  <si>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</si>
  <si>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</si>
  <si>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</si>
  <si>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</si>
  <si>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</si>
  <si>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</si>
  <si>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</si>
  <si>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</si>
  <si>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</si>
  <si>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</si>
  <si>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</si>
  <si>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</si>
  <si>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</si>
  <si>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</si>
  <si>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</si>
  <si>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</si>
  <si>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</si>
  <si>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</si>
  <si>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</si>
  <si>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</si>
  <si>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</si>
  <si>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</si>
  <si>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</si>
  <si>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</si>
  <si>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</si>
  <si>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</si>
  <si>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</si>
  <si>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</si>
  <si>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</si>
  <si>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</si>
  <si>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</si>
  <si>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</si>
  <si>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</si>
  <si>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</si>
  <si>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</si>
  <si>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</si>
  <si>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</si>
  <si>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</si>
  <si>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</si>
  <si>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</si>
  <si>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</si>
  <si>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</si>
  <si>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</si>
  <si>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</si>
  <si>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</si>
  <si>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</si>
  <si>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</si>
  <si>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</si>
  <si>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</si>
  <si>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</si>
  <si>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</si>
  <si>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</si>
  <si>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</si>
  <si>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</si>
  <si>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</si>
  <si>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</si>
  <si>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</si>
  <si>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</si>
  <si>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</si>
  <si>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</si>
  <si>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</si>
  <si>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</si>
  <si>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</si>
  <si>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</si>
  <si>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</si>
  <si>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</si>
  <si>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</si>
  <si>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</si>
  <si>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</si>
  <si>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</si>
  <si>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</si>
  <si>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</si>
  <si>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</si>
  <si>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</si>
  <si>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</si>
  <si>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</si>
  <si>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</si>
  <si>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</si>
  <si>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</si>
  <si>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</si>
  <si>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</si>
  <si>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</si>
  <si>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</si>
  <si>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</si>
  <si>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</si>
  <si>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</si>
  <si>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</si>
  <si>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</si>
  <si>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</si>
  <si>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</si>
  <si>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</si>
  <si>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</si>
  <si>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</si>
  <si>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</si>
  <si>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</si>
  <si>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</si>
  <si>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</si>
  <si>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</si>
  <si>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</si>
  <si>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</si>
  <si>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</si>
  <si>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</si>
  <si>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</si>
  <si>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</si>
  <si>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</si>
  <si>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</si>
  <si>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</si>
  <si>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</si>
  <si>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</si>
  <si>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</si>
  <si>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</si>
  <si>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</si>
  <si>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</si>
  <si>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</si>
  <si>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</si>
  <si>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</si>
  <si>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</si>
  <si>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</si>
  <si>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</si>
  <si>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</si>
  <si>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</si>
  <si>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</si>
  <si>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</si>
  <si>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</si>
  <si>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</si>
  <si>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</si>
  <si>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</si>
  <si>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</si>
  <si>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</si>
  <si>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</si>
  <si>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</si>
  <si>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</si>
  <si>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</si>
  <si>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</si>
  <si>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</si>
  <si>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</si>
  <si>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</si>
  <si>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</si>
  <si>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</si>
  <si>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</si>
  <si>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</si>
  <si>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</si>
  <si>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</si>
  <si>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</si>
  <si>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</si>
  <si>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</si>
  <si>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</si>
  <si>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</si>
  <si>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</si>
  <si>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</si>
  <si>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</si>
  <si>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</si>
  <si>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</si>
  <si>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</si>
  <si>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</si>
  <si>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</si>
  <si>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</si>
  <si>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</si>
  <si>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</si>
  <si>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</si>
  <si>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</si>
  <si>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</si>
  <si>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</si>
  <si>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</si>
  <si>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</si>
  <si>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</si>
  <si>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</si>
  <si>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</si>
  <si>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</si>
  <si>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</si>
  <si>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</si>
  <si>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</si>
  <si>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</si>
  <si>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</si>
  <si>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</si>
  <si>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</si>
  <si>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</si>
  <si>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</si>
  <si>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</si>
  <si>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</si>
  <si>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</si>
  <si>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</si>
  <si>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</si>
  <si>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</si>
  <si>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</si>
  <si>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</si>
  <si>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</si>
  <si>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</si>
  <si>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</si>
  <si>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</si>
  <si>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</si>
  <si>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</si>
  <si>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</si>
  <si>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</si>
  <si>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</si>
  <si>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</si>
  <si>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</si>
  <si>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</si>
  <si>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</si>
  <si>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</si>
  <si>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</si>
  <si>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</si>
  <si>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</si>
  <si>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</si>
  <si>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</si>
  <si>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</si>
  <si>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</si>
  <si>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</si>
  <si>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</si>
  <si>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</si>
  <si>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</si>
  <si>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</si>
  <si>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</si>
  <si>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</si>
  <si>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</si>
  <si>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</si>
  <si>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</si>
  <si>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</si>
  <si>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</si>
  <si>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</si>
  <si>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</si>
  <si>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</si>
  <si>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</si>
  <si>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</si>
  <si>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</si>
  <si>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</si>
  <si>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</si>
  <si>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</si>
  <si>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</si>
  <si>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</si>
  <si>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</si>
  <si>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</si>
  <si>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</si>
  <si>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</si>
  <si>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</si>
  <si>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</si>
  <si>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</si>
  <si>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</si>
  <si>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</si>
  <si>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</si>
  <si>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</si>
  <si>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</si>
  <si>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</si>
  <si>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</si>
  <si>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</si>
  <si>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</si>
  <si>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</si>
  <si>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</si>
  <si>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</si>
  <si>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</si>
  <si>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</si>
  <si>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</si>
  <si>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</si>
  <si>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</si>
  <si>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</si>
  <si>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</si>
  <si>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</si>
  <si>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</si>
  <si>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</si>
  <si>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</si>
  <si>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</si>
  <si>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</si>
  <si>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</si>
  <si>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</si>
  <si>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</si>
  <si>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</si>
  <si>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</si>
  <si>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</si>
  <si>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</si>
  <si>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</si>
  <si>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</si>
  <si>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</si>
  <si>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</si>
  <si>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</si>
  <si>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</si>
  <si>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</si>
  <si>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</si>
  <si>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</si>
  <si>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</si>
  <si>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</si>
  <si>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</si>
  <si>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</si>
  <si>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</si>
  <si>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</si>
  <si>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</si>
  <si>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</si>
  <si>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</si>
  <si>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</si>
  <si>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</si>
  <si>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</si>
  <si>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</si>
  <si>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</si>
  <si>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</si>
  <si>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</si>
  <si>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</si>
  <si>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</si>
  <si>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</si>
  <si>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</si>
  <si>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</si>
  <si>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</si>
  <si>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</si>
  <si>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</si>
  <si>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</si>
  <si>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</si>
  <si>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</si>
  <si>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</si>
  <si>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</si>
  <si>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</si>
  <si>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</si>
  <si>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</si>
  <si>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</si>
  <si>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</si>
  <si>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</si>
  <si>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</si>
  <si>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</si>
  <si>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</si>
  <si>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</si>
  <si>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</si>
  <si>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</si>
  <si>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</si>
  <si>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</si>
  <si>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</si>
  <si>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</si>
  <si>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</si>
  <si>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</si>
  <si>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</si>
  <si>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</si>
  <si>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</si>
  <si>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</si>
  <si>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</si>
  <si>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</si>
  <si>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</si>
  <si>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</si>
  <si>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</si>
  <si>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</si>
  <si>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</si>
  <si>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</si>
  <si>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</si>
  <si>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</si>
  <si>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</si>
  <si>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</si>
  <si>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</si>
  <si>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</si>
  <si>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</si>
  <si>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</si>
  <si>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</si>
  <si>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</si>
  <si>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</si>
  <si>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</si>
  <si>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</si>
  <si>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</si>
  <si>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</si>
  <si>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</si>
  <si>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</si>
  <si>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</si>
  <si>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</si>
  <si>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</si>
  <si>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</si>
  <si>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</si>
  <si>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</si>
  <si>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</si>
  <si>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</si>
  <si>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</si>
  <si>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</si>
  <si>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</si>
  <si>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</si>
  <si>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</si>
  <si>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</si>
  <si>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</si>
  <si>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</si>
  <si>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</si>
  <si>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</si>
  <si>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</si>
  <si>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</si>
  <si>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</si>
  <si>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</si>
  <si>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</si>
  <si>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</si>
  <si>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</si>
  <si>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</si>
  <si>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</si>
  <si>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</si>
  <si>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</si>
  <si>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</si>
  <si>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</si>
  <si>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</si>
  <si>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</si>
  <si>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</si>
  <si>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t>
  </si>
  <si>
    <t>Hour (Order)</t>
  </si>
  <si>
    <t>Diff_Order_Delivery</t>
  </si>
  <si>
    <t>Days</t>
  </si>
  <si>
    <t>Hour (Delivery)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</si>
  <si>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</si>
  <si>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</si>
  <si>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</si>
  <si>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</si>
  <si>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</si>
  <si>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</si>
  <si>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</si>
  <si>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</si>
  <si>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</si>
  <si>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</si>
  <si>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</si>
  <si>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</si>
  <si>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</si>
  <si>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</si>
  <si>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</si>
  <si>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</si>
  <si>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</si>
  <si>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</si>
  <si>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</si>
  <si>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</si>
  <si>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</si>
  <si>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</si>
  <si>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</si>
  <si>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</si>
  <si>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</si>
  <si>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</si>
  <si>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</si>
  <si>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</si>
  <si>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</si>
  <si>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</si>
  <si>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</si>
  <si>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</si>
  <si>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</si>
  <si>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</si>
  <si>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</si>
  <si>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</si>
  <si>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</si>
  <si>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</si>
  <si>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</si>
  <si>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</si>
  <si>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</si>
  <si>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</si>
  <si>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</si>
  <si>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</si>
  <si>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</si>
  <si>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</si>
  <si>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</si>
  <si>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</si>
  <si>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</si>
  <si>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</si>
  <si>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</si>
  <si>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</si>
  <si>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</si>
  <si>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</si>
  <si>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</si>
  <si>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</si>
  <si>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</si>
  <si>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</si>
  <si>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</si>
  <si>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</si>
  <si>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</si>
  <si>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</si>
  <si>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</si>
  <si>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</si>
  <si>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</si>
  <si>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</si>
  <si>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</si>
  <si>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</si>
  <si>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</si>
  <si>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</si>
  <si>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</si>
  <si>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</si>
  <si>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</si>
  <si>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</si>
  <si>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</si>
  <si>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</si>
  <si>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</si>
  <si>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</si>
  <si>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</si>
  <si>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</si>
  <si>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</si>
  <si>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</si>
  <si>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</si>
  <si>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</si>
  <si>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</si>
  <si>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</si>
  <si>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</si>
  <si>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</si>
  <si>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</si>
  <si>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</si>
  <si>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</si>
  <si>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</si>
  <si>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</si>
  <si>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</si>
  <si>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</si>
  <si>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</si>
  <si>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</si>
  <si>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</si>
  <si>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</si>
  <si>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</si>
  <si>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</si>
  <si>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</si>
  <si>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</si>
  <si>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</si>
  <si>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</si>
  <si>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</si>
  <si>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</si>
  <si>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</si>
  <si>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</si>
  <si>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</si>
  <si>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</si>
  <si>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</si>
  <si>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</si>
  <si>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</si>
  <si>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</si>
  <si>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</si>
  <si>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</si>
  <si>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</si>
  <si>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</si>
  <si>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</si>
  <si>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</si>
  <si>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</si>
  <si>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</si>
  <si>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</si>
  <si>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</si>
  <si>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</si>
  <si>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</si>
  <si>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</si>
  <si>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</si>
  <si>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</si>
  <si>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</si>
  <si>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</si>
  <si>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</si>
  <si>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</si>
  <si>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</si>
  <si>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</si>
  <si>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</si>
  <si>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</si>
  <si>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</si>
  <si>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</si>
  <si>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</si>
  <si>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</si>
  <si>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</si>
  <si>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</si>
  <si>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</si>
  <si>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</si>
  <si>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</si>
  <si>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</si>
  <si>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</si>
  <si>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</si>
  <si>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</si>
  <si>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</si>
  <si>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</si>
  <si>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</si>
  <si>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</si>
  <si>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</si>
  <si>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</si>
  <si>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</si>
  <si>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</si>
  <si>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</si>
  <si>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</si>
  <si>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</si>
  <si>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</si>
  <si>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</si>
  <si>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</si>
  <si>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</si>
  <si>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</si>
  <si>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</si>
  <si>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</si>
  <si>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</si>
  <si>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</si>
  <si>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</si>
  <si>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</si>
  <si>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</si>
  <si>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</si>
  <si>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</si>
  <si>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</si>
  <si>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</si>
  <si>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</si>
  <si>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</si>
  <si>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</si>
  <si>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</si>
  <si>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</si>
  <si>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</si>
  <si>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</si>
  <si>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</si>
  <si>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</si>
  <si>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</si>
  <si>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</si>
  <si>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</si>
  <si>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</si>
  <si>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</si>
  <si>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</si>
  <si>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</si>
  <si>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</si>
  <si>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</si>
  <si>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</si>
  <si>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</si>
  <si>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</si>
  <si>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</si>
  <si>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</si>
  <si>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</si>
  <si>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</si>
  <si>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</si>
  <si>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</si>
  <si>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</si>
  <si>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</si>
  <si>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</si>
  <si>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</si>
  <si>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</si>
  <si>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</si>
  <si>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</si>
  <si>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</si>
  <si>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</si>
  <si>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</si>
  <si>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</si>
  <si>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</si>
  <si>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</si>
  <si>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</si>
  <si>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</si>
  <si>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</si>
  <si>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</si>
  <si>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</si>
  <si>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</si>
  <si>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</si>
  <si>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</si>
  <si>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</si>
  <si>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</si>
  <si>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</si>
  <si>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</si>
  <si>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</si>
  <si>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</si>
  <si>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</si>
  <si>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</si>
  <si>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</si>
  <si>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</si>
  <si>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</si>
  <si>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</si>
  <si>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</si>
  <si>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</si>
  <si>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</si>
  <si>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</si>
  <si>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</si>
  <si>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</si>
  <si>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</si>
  <si>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</si>
  <si>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</si>
  <si>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</si>
  <si>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</si>
  <si>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</si>
  <si>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</si>
  <si>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</si>
  <si>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</si>
  <si>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</si>
  <si>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</si>
  <si>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</si>
  <si>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</si>
  <si>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</si>
  <si>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</si>
  <si>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</si>
  <si>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</si>
  <si>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</si>
  <si>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</si>
  <si>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</si>
  <si>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</si>
  <si>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</si>
  <si>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</si>
  <si>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</si>
  <si>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</si>
  <si>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</si>
  <si>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</si>
  <si>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</si>
  <si>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</si>
  <si>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</si>
  <si>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</si>
  <si>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</si>
  <si>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</si>
  <si>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</si>
  <si>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</si>
  <si>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</si>
  <si>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</si>
  <si>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</si>
  <si>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</si>
  <si>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</si>
  <si>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</si>
  <si>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</si>
  <si>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</si>
  <si>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</si>
  <si>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</si>
  <si>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</si>
  <si>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</si>
  <si>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</si>
  <si>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</si>
  <si>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</si>
  <si>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</si>
  <si>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</si>
  <si>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</si>
  <si>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</si>
  <si>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</si>
  <si>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</si>
  <si>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</si>
  <si>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</si>
  <si>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</si>
  <si>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</si>
  <si>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</si>
  <si>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</si>
  <si>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</si>
  <si>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</si>
  <si>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</si>
  <si>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</si>
  <si>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</si>
  <si>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</si>
  <si>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</si>
  <si>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</si>
  <si>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</si>
  <si>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</si>
  <si>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</si>
  <si>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</si>
  <si>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</si>
  <si>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</si>
  <si>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</si>
  <si>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</si>
  <si>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</si>
  <si>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</si>
  <si>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</si>
  <si>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</si>
  <si>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</si>
  <si>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Average of Revenue</t>
  </si>
  <si>
    <t>Count of Order_ID</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</si>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</sst>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_ [$₹-439]* #,##0.00_ ;_ [$₹-439]* \-#,##0.00_ ;_ [$₹-439]* &quot;-&quot;??_ ;_ @_ "/>
    <numFmt numFmtId="166" formatCode="&quot;₹&quot;\ #,##0.00;#,##0.00\ \-&quot;₹&quot;;&quot;₹&quot;\ #,##0.00"/>
  </numFmts>
  <fonts count="4" x14ac:knownFonts="1">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5">
    <xf numFmtId="0" fontId="0" fillId="0" borderId="0" xfId="0"/>
    <xf numFmtId="22" fontId="0" fillId="0" borderId="0" xfId="0" applyNumberFormat="1"/>
    <xf numFmtId="14" fontId="0" fillId="0" borderId="0" xfId="0" applyNumberFormat="1"/>
    <xf numFmtId="164" fontId="0" fillId="0" borderId="0" xfId="0" applyNumberFormat="1"/>
    <xf numFmtId="0" fontId="3" fillId="0" borderId="0" xfId="0" applyFont="1"/>
    <xf numFmtId="0" fontId="0" fillId="0" borderId="0" xfId="0" applyAlignment="1">
      <alignment horizontal="center"/>
    </xf>
    <xf numFmtId="166" fontId="0" fillId="0" borderId="0" xfId="0" applyNumberFormat="1" applyAlignment="1">
      <alignment horizontal="center"/>
    </xf>
    <xf numFmtId="0" fontId="0" fillId="0" borderId="0" xfId="0" pivotButton="1" applyAlignment="1">
      <alignment horizontal="center"/>
    </xf>
    <xf numFmtId="165" fontId="0" fillId="0" borderId="0" xfId="0" applyNumberFormat="1" applyAlignment="1">
      <alignment horizontal="center"/>
    </xf>
    <xf numFmtId="0" fontId="1" fillId="0" borderId="1" xfId="0" applyFont="1" applyBorder="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xf>
  </cellXfs>
  <cellStyles count="1">
    <cellStyle name="Normal" xfId="0" builtinId="0"/>
  </cellStyles>
  <dxfs count="561">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439]* #,##0.00_ ;_ [$₹-439]* \-#,##0.00_ ;_ [$₹-439]* &quot;-&quot;??_ ;_ @_ "/>
    </dxf>
    <dxf>
      <alignment horizontal="center"/>
    </dxf>
    <dxf>
      <alignment horizontal="center"/>
    </dxf>
    <dxf>
      <alignment horizontal="center"/>
    </dxf>
    <dxf>
      <alignment horizontal="center"/>
    </dxf>
    <dxf>
      <alignment horizontal="center"/>
    </dxf>
    <dxf>
      <alignment horizontal="center"/>
    </dxf>
    <dxf>
      <numFmt numFmtId="164" formatCode="[$-F400]h:mm:ss\ AM/PM"/>
    </dxf>
    <dxf>
      <numFmt numFmtId="19" formatCode="m/d/yyyy"/>
    </dxf>
    <dxf>
      <numFmt numFmtId="164" formatCode="[$-F400]h:mm:ss\ AM/PM"/>
    </dxf>
    <dxf>
      <numFmt numFmtId="19" formatCode="m/d/yyyy"/>
    </dxf>
    <dxf>
      <numFmt numFmtId="27" formatCode="m/d/yyyy\ h:mm"/>
    </dxf>
    <dxf>
      <numFmt numFmtId="27" formatCode="m/d/yyyy\ h:mm"/>
    </dxf>
    <dxf>
      <numFmt numFmtId="27" formatCode="m/d/yyyy\ h:mm"/>
    </dxf>
    <dxf>
      <alignment horizontal="center"/>
    </dxf>
    <dxf>
      <alignment horizontal="center"/>
    </dxf>
    <dxf>
      <alignment horizontal="center"/>
    </dxf>
    <dxf>
      <alignment horizontal="center"/>
    </dxf>
    <dxf>
      <alignment horizontal="center"/>
    </dxf>
    <dxf>
      <numFmt numFmtId="165" formatCode="_ [$₹-439]* #,##0.00_ ;_ [$₹-439]* \-#,##0.00_ ;_ [$₹-439]*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073BAAAF-E666-4075-8465-773C21534A1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Dashboard.xlsx]Pivot_Tables!PivotTable9</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Occasions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Pivot_Tables!$K$1</c:f>
              <c:strCache>
                <c:ptCount val="1"/>
                <c:pt idx="0">
                  <c:v>Total</c:v>
                </c:pt>
              </c:strCache>
            </c:strRef>
          </c:tx>
          <c:spPr>
            <a:solidFill>
              <a:schemeClr val="accent1"/>
            </a:solidFill>
            <a:ln>
              <a:noFill/>
            </a:ln>
            <a:effectLst/>
          </c:spPr>
          <c:invertIfNegative val="0"/>
          <c:cat>
            <c:strRef>
              <c:f>Pivot_Tables!$J$2:$J$9</c:f>
              <c:strCache>
                <c:ptCount val="7"/>
                <c:pt idx="0">
                  <c:v>All Occasions</c:v>
                </c:pt>
                <c:pt idx="1">
                  <c:v>Anniversary</c:v>
                </c:pt>
                <c:pt idx="2">
                  <c:v>Birthday</c:v>
                </c:pt>
                <c:pt idx="3">
                  <c:v>Diwali</c:v>
                </c:pt>
                <c:pt idx="4">
                  <c:v>Holi</c:v>
                </c:pt>
                <c:pt idx="5">
                  <c:v>Raksha Bandhan</c:v>
                </c:pt>
                <c:pt idx="6">
                  <c:v>Valentine's Day</c:v>
                </c:pt>
              </c:strCache>
            </c:strRef>
          </c:cat>
          <c:val>
            <c:numRef>
              <c:f>Pivot_Tables!$K$2:$K$9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F15-48E5-976A-E265EAEE7EEB}"/>
            </c:ext>
          </c:extLst>
        </c:ser>
        <c:dLbls>
          <c:showLegendKey val="0"/>
          <c:showVal val="0"/>
          <c:showCatName val="0"/>
          <c:showSerName val="0"/>
          <c:showPercent val="0"/>
          <c:showBubbleSize val="0"/>
        </c:dLbls>
        <c:gapWidth val="219"/>
        <c:overlap val="-27"/>
        <c:axId val="131638047"/>
        <c:axId val="312036191"/>
      </c:barChart>
      <c:catAx>
        <c:axId val="1316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036191"/>
        <c:crosses val="autoZero"/>
        <c:auto val="1"/>
        <c:lblAlgn val="ctr"/>
        <c:lblOffset val="100"/>
        <c:noMultiLvlLbl val="0"/>
      </c:catAx>
      <c:valAx>
        <c:axId val="31203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6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Dashboard.xlsx]Pivot_Tables!PivotTable3</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c:f>
              <c:strCache>
                <c:ptCount val="1"/>
                <c:pt idx="0">
                  <c:v>Total</c:v>
                </c:pt>
              </c:strCache>
            </c:strRef>
          </c:tx>
          <c:spPr>
            <a:solidFill>
              <a:schemeClr val="accent1"/>
            </a:solidFill>
            <a:ln>
              <a:noFill/>
            </a:ln>
            <a:effectLst/>
          </c:spPr>
          <c:invertIfNegative val="0"/>
          <c:cat>
            <c:strRef>
              <c:f>Pivot_Tables!$F$2:$F$9</c:f>
              <c:strCache>
                <c:ptCount val="7"/>
                <c:pt idx="0">
                  <c:v>Cake</c:v>
                </c:pt>
                <c:pt idx="1">
                  <c:v>Colors</c:v>
                </c:pt>
                <c:pt idx="2">
                  <c:v>Mugs</c:v>
                </c:pt>
                <c:pt idx="3">
                  <c:v>Plants</c:v>
                </c:pt>
                <c:pt idx="4">
                  <c:v>Raksha Bandhan</c:v>
                </c:pt>
                <c:pt idx="5">
                  <c:v>Soft Toys</c:v>
                </c:pt>
                <c:pt idx="6">
                  <c:v>Sweets</c:v>
                </c:pt>
              </c:strCache>
            </c:strRef>
          </c:cat>
          <c:val>
            <c:numRef>
              <c:f>Pivot_Tables!$G$2:$G$9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D69-43E8-9781-CBFB837E1F6D}"/>
            </c:ext>
          </c:extLst>
        </c:ser>
        <c:dLbls>
          <c:showLegendKey val="0"/>
          <c:showVal val="0"/>
          <c:showCatName val="0"/>
          <c:showSerName val="0"/>
          <c:showPercent val="0"/>
          <c:showBubbleSize val="0"/>
        </c:dLbls>
        <c:gapWidth val="219"/>
        <c:overlap val="-27"/>
        <c:axId val="282051103"/>
        <c:axId val="312039071"/>
      </c:barChart>
      <c:catAx>
        <c:axId val="2820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2039071"/>
        <c:crosses val="autoZero"/>
        <c:auto val="1"/>
        <c:lblAlgn val="ctr"/>
        <c:lblOffset val="100"/>
        <c:noMultiLvlLbl val="0"/>
      </c:catAx>
      <c:valAx>
        <c:axId val="31203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20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Dashboard.xlsx]Pivot_Tables!PivotTable5</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Pivot_Tables!$B$8:$B$20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Pivot_Tables!$C$8:$C$20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C37-4602-A25D-9EA605852314}"/>
            </c:ext>
          </c:extLst>
        </c:ser>
        <c:dLbls>
          <c:showLegendKey val="0"/>
          <c:showVal val="0"/>
          <c:showCatName val="0"/>
          <c:showSerName val="0"/>
          <c:showPercent val="0"/>
          <c:showBubbleSize val="0"/>
        </c:dLbls>
        <c:marker val="1"/>
        <c:smooth val="0"/>
        <c:axId val="427727295"/>
        <c:axId val="1223019424"/>
      </c:lineChart>
      <c:catAx>
        <c:axId val="42772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3019424"/>
        <c:crosses val="autoZero"/>
        <c:auto val="1"/>
        <c:lblAlgn val="ctr"/>
        <c:lblOffset val="100"/>
        <c:noMultiLvlLbl val="0"/>
      </c:catAx>
      <c:valAx>
        <c:axId val="1223019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772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Dashboard.xlsx]Pivot_Tables!PivotTable6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5 Products by Revenue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Pivot_Tables!$B$23:$B$28</c:f>
              <c:strCache>
                <c:ptCount val="5"/>
                <c:pt idx="0">
                  <c:v>Deserunt Box</c:v>
                </c:pt>
                <c:pt idx="1">
                  <c:v>Dolores Gift</c:v>
                </c:pt>
                <c:pt idx="2">
                  <c:v>Harum Pack</c:v>
                </c:pt>
                <c:pt idx="3">
                  <c:v>Magnam Set</c:v>
                </c:pt>
                <c:pt idx="4">
                  <c:v>Quia Gift</c:v>
                </c:pt>
              </c:strCache>
            </c:strRef>
          </c:cat>
          <c:val>
            <c:numRef>
              <c:f>Pivot_Tables!$C$23:$C$28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432-4392-9BE5-EF5EAA9C1E98}"/>
            </c:ext>
          </c:extLst>
        </c:ser>
        <c:dLbls>
          <c:dLblPos val="outEnd"/>
          <c:showLegendKey val="0"/>
          <c:showVal val="1"/>
          <c:showCatName val="0"/>
          <c:showSerName val="0"/>
          <c:showPercent val="0"/>
          <c:showBubbleSize val="0"/>
        </c:dLbls>
        <c:gapWidth val="219"/>
        <c:overlap val="-27"/>
        <c:axId val="424860095"/>
        <c:axId val="1223020864"/>
      </c:barChart>
      <c:catAx>
        <c:axId val="4248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3020864"/>
        <c:crosses val="autoZero"/>
        <c:auto val="1"/>
        <c:lblAlgn val="ctr"/>
        <c:lblOffset val="100"/>
        <c:noMultiLvlLbl val="0"/>
      </c:catAx>
      <c:valAx>
        <c:axId val="1223020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86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Dashboard.xlsx]Pivot_Tables!PivotTable10</c:name>
    <c:fmtId val="2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Hour (Order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06090553941685E-2"/>
          <c:y val="0.11486256345783373"/>
          <c:w val="0.89367035963930364"/>
          <c:h val="0.82529884463328762"/>
        </c:manualLayout>
      </c:layout>
      <c:lineChart>
        <c:grouping val="standard"/>
        <c:varyColors val="0"/>
        <c:ser>
          <c:idx val="0"/>
          <c:order val="0"/>
          <c:tx>
            <c:strRef>
              <c:f>Pivot_Tables!$K$25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Pivot_Tables!$J$26:$J$50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Pivot_Tables!$K$26:$K$50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502-4519-B3E9-FA76C34367D3}"/>
            </c:ext>
          </c:extLst>
        </c:ser>
        <c:dLbls>
          <c:showLegendKey val="0"/>
          <c:showVal val="0"/>
          <c:showCatName val="0"/>
          <c:showSerName val="0"/>
          <c:showPercent val="0"/>
          <c:showBubbleSize val="0"/>
        </c:dLbls>
        <c:marker val="1"/>
        <c:smooth val="0"/>
        <c:axId val="100305424"/>
        <c:axId val="1566138143"/>
      </c:lineChart>
      <c:catAx>
        <c:axId val="10030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138143"/>
        <c:crosses val="autoZero"/>
        <c:auto val="1"/>
        <c:lblAlgn val="ctr"/>
        <c:lblOffset val="100"/>
        <c:tickLblSkip val="2"/>
        <c:tickMarkSkip val="2"/>
        <c:noMultiLvlLbl val="0"/>
      </c:catAx>
      <c:valAx>
        <c:axId val="1566138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30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Dashboard.xlsx]Pivot_Tables!PivotTable14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10 cities by Orders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Pivot_Tables!$G$14</c:f>
              <c:strCache>
                <c:ptCount val="1"/>
                <c:pt idx="0">
                  <c:v>Total</c:v>
                </c:pt>
              </c:strCache>
            </c:strRef>
          </c:tx>
          <c:spPr>
            <a:solidFill>
              <a:schemeClr val="accent1"/>
            </a:solidFill>
            <a:ln>
              <a:noFill/>
            </a:ln>
            <a:effectLst/>
          </c:spPr>
          <c:invertIfNegative val="0"/>
          <c:cat>
            <c:strRef>
              <c:f>Pivot_Tables!$F$15:$F$25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Pivot_Tables!$G$15:$G$25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C2B-4CBB-8F26-63A62D8B860A}"/>
            </c:ext>
          </c:extLst>
        </c:ser>
        <c:dLbls>
          <c:showLegendKey val="0"/>
          <c:showVal val="0"/>
          <c:showCatName val="0"/>
          <c:showSerName val="0"/>
          <c:showPercent val="0"/>
          <c:showBubbleSize val="0"/>
        </c:dLbls>
        <c:gapWidth val="219"/>
        <c:overlap val="-27"/>
        <c:axId val="150318848"/>
        <c:axId val="587357344"/>
      </c:barChart>
      <c:catAx>
        <c:axId val="1503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7357344"/>
        <c:crosses val="autoZero"/>
        <c:auto val="1"/>
        <c:lblAlgn val="ctr"/>
        <c:lblOffset val="100"/>
        <c:noMultiLvlLbl val="0"/>
      </c:catAx>
      <c:valAx>
        <c:axId val="58735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31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147638</xdr:colOff>
      <xdr:row>27</xdr:row>
      <xdr:rowOff>62972</xdr:rowOff>
    </xdr:from>
    <xdr:to>
      <xdr:col>7</xdr:col>
      <xdr:colOff>324258</xdr:colOff>
      <xdr:row>40</xdr:row>
      <xdr:rowOff>19455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B71BF458-92AB-460A-417F-4D53F2B562C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822106" y="5291589"/>
              <a:ext cx="3113410" cy="253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168089</xdr:colOff>
      <xdr:row>11</xdr:row>
      <xdr:rowOff>20768</xdr:rowOff>
    </xdr:from>
    <xdr:to>
      <xdr:col>12</xdr:col>
      <xdr:colOff>40952</xdr:colOff>
      <xdr:row>36</xdr:row>
      <xdr:rowOff>57150</xdr:rowOff>
    </xdr:to>
    <xdr:graphicFrame macro="">
      <xdr:nvGraphicFramePr>
        <xdr:cNvPr id="2" name="Chart 1">
          <a:extLst>
            <a:ext uri="{FF2B5EF4-FFF2-40B4-BE49-F238E27FC236}">
              <a16:creationId xmlns:a16="http://schemas.microsoft.com/office/drawing/2014/main" id="{C436FA13-9EF1-43F1-A56D-8ACB7F558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234727</xdr:colOff>
      <xdr:row>11</xdr:row>
      <xdr:rowOff>19436</xdr:rowOff>
    </xdr:from>
    <xdr:to>
      <xdr:col>23</xdr:col>
      <xdr:colOff>112000</xdr:colOff>
      <xdr:row>36</xdr:row>
      <xdr:rowOff>38099</xdr:rowOff>
    </xdr:to>
    <xdr:graphicFrame macro="">
      <xdr:nvGraphicFramePr>
        <xdr:cNvPr id="3" name="Chart 2">
          <a:extLst>
            <a:ext uri="{FF2B5EF4-FFF2-40B4-BE49-F238E27FC236}">
              <a16:creationId xmlns:a16="http://schemas.microsoft.com/office/drawing/2014/main" id="{0BCA821E-94D4-4A51-BD10-68BCA6C9C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171227</xdr:colOff>
      <xdr:row>37</xdr:row>
      <xdr:rowOff>95250</xdr:rowOff>
    </xdr:from>
    <xdr:to>
      <xdr:col>12</xdr:col>
      <xdr:colOff>18675</xdr:colOff>
      <xdr:row>61</xdr:row>
      <xdr:rowOff>95250</xdr:rowOff>
    </xdr:to>
    <xdr:graphicFrame macro="">
      <xdr:nvGraphicFramePr>
        <xdr:cNvPr id="4" name="Chart 3">
          <a:extLst>
            <a:ext uri="{FF2B5EF4-FFF2-40B4-BE49-F238E27FC236}">
              <a16:creationId xmlns:a16="http://schemas.microsoft.com/office/drawing/2014/main" id="{EABBCFB6-E07D-448F-B29B-33F7B8398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255400</xdr:colOff>
      <xdr:row>37</xdr:row>
      <xdr:rowOff>95250</xdr:rowOff>
    </xdr:from>
    <xdr:to>
      <xdr:col>23</xdr:col>
      <xdr:colOff>132673</xdr:colOff>
      <xdr:row>61</xdr:row>
      <xdr:rowOff>57150</xdr:rowOff>
    </xdr:to>
    <xdr:graphicFrame macro="">
      <xdr:nvGraphicFramePr>
        <xdr:cNvPr id="5" name="Chart 4">
          <a:extLst>
            <a:ext uri="{FF2B5EF4-FFF2-40B4-BE49-F238E27FC236}">
              <a16:creationId xmlns:a16="http://schemas.microsoft.com/office/drawing/2014/main" id="{C36EA2A0-BDE5-47C8-B319-0C6BD6F1C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464987</xdr:colOff>
      <xdr:row>34</xdr:row>
      <xdr:rowOff>20589</xdr:rowOff>
    </xdr:from>
    <xdr:to>
      <xdr:col>42</xdr:col>
      <xdr:colOff>57317</xdr:colOff>
      <xdr:row>61</xdr:row>
      <xdr:rowOff>97631</xdr:rowOff>
    </xdr:to>
    <mc:AlternateContent xmlns:mc="http://schemas.openxmlformats.org/markup-compatibility/2006">
      <mc:Choice xmlns:a14="http://schemas.microsoft.com/office/drawing/2010/main" Requires="a14">
        <xdr:graphicFrame macro="">
          <xdr:nvGraphicFramePr>
            <xdr:cNvPr id="7" name="Occasion 1">
              <a:extLst>
                <a:ext uri="{FF2B5EF4-FFF2-40B4-BE49-F238E27FC236}">
                  <a16:creationId xmlns:a16="http://schemas.microsoft.com/office/drawing/2014/main" id="{03C40FA4-0A37-43DD-80F4-6B17437E625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21380300" y="6767464"/>
              <a:ext cx="4513580" cy="5434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395508</xdr:colOff>
      <xdr:row>37</xdr:row>
      <xdr:rowOff>114300</xdr:rowOff>
    </xdr:from>
    <xdr:to>
      <xdr:col>34</xdr:col>
      <xdr:colOff>272782</xdr:colOff>
      <xdr:row>61</xdr:row>
      <xdr:rowOff>38100</xdr:rowOff>
    </xdr:to>
    <xdr:graphicFrame macro="">
      <xdr:nvGraphicFramePr>
        <xdr:cNvPr id="8" name="Chart 7">
          <a:extLst>
            <a:ext uri="{FF2B5EF4-FFF2-40B4-BE49-F238E27FC236}">
              <a16:creationId xmlns:a16="http://schemas.microsoft.com/office/drawing/2014/main" id="{B04C87F4-68E6-46AB-903D-0E70F4094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436275</xdr:colOff>
      <xdr:row>1</xdr:row>
      <xdr:rowOff>82559</xdr:rowOff>
    </xdr:from>
    <xdr:to>
      <xdr:col>33</xdr:col>
      <xdr:colOff>306371</xdr:colOff>
      <xdr:row>9</xdr:row>
      <xdr:rowOff>35127</xdr:rowOff>
    </xdr:to>
    <xdr:sp macro="" textlink="Pivot_Tables!B5">
      <xdr:nvSpPr>
        <xdr:cNvPr id="11" name="Rectangle: Rounded Corners 10">
          <a:extLst>
            <a:ext uri="{FF2B5EF4-FFF2-40B4-BE49-F238E27FC236}">
              <a16:creationId xmlns:a16="http://schemas.microsoft.com/office/drawing/2014/main" id="{0CEF759F-6E16-44BC-820D-BA949BD60C49}"/>
            </a:ext>
          </a:extLst>
        </xdr:cNvPr>
        <xdr:cNvSpPr/>
      </xdr:nvSpPr>
      <xdr:spPr>
        <a:xfrm>
          <a:off x="15501326" y="276947"/>
          <a:ext cx="4690912" cy="150767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rgbClr val="000000"/>
              </a:solidFill>
              <a:latin typeface="EB Garamond" panose="00000500000000000000" pitchFamily="2" charset="0"/>
              <a:ea typeface="EB Garamond" panose="00000500000000000000" pitchFamily="2" charset="0"/>
              <a:cs typeface="Calibri"/>
            </a:rPr>
            <a:t>Order -</a:t>
          </a:r>
          <a:r>
            <a:rPr lang="en-US" sz="3600" b="1" i="0" u="none" strike="noStrike" baseline="0">
              <a:solidFill>
                <a:srgbClr val="000000"/>
              </a:solidFill>
              <a:latin typeface="EB Garamond" panose="00000500000000000000" pitchFamily="2" charset="0"/>
              <a:ea typeface="EB Garamond" panose="00000500000000000000" pitchFamily="2" charset="0"/>
              <a:cs typeface="Calibri"/>
            </a:rPr>
            <a:t> </a:t>
          </a:r>
          <a:r>
            <a:rPr lang="en-US" sz="3600" b="1" i="0" u="none" strike="noStrike">
              <a:solidFill>
                <a:srgbClr val="000000"/>
              </a:solidFill>
              <a:latin typeface="EB Garamond" panose="00000500000000000000" pitchFamily="2" charset="0"/>
              <a:ea typeface="EB Garamond" panose="00000500000000000000" pitchFamily="2" charset="0"/>
              <a:cs typeface="Calibri"/>
            </a:rPr>
            <a:t>Delivery Time</a:t>
          </a:r>
        </a:p>
        <a:p>
          <a:pPr algn="ctr"/>
          <a:fld id="{54BCE4A7-530F-4923-8A76-57B4A4D5D54D}" type="TxLink">
            <a:rPr lang="en-US" sz="3600" b="1" i="0" u="none" strike="noStrike">
              <a:solidFill>
                <a:srgbClr val="000000"/>
              </a:solidFill>
              <a:latin typeface="EB Garamond" panose="00000500000000000000" pitchFamily="2" charset="0"/>
              <a:ea typeface="EB Garamond" panose="00000500000000000000" pitchFamily="2" charset="0"/>
              <a:cs typeface="Calibri"/>
            </a:rPr>
            <a:pPr algn="ctr"/>
            <a:t>5.53</a:t>
          </a:fld>
          <a:endParaRPr lang="en-US" sz="3600" b="1">
            <a:latin typeface="EB Garamond" panose="00000500000000000000" pitchFamily="2" charset="0"/>
            <a:ea typeface="EB Garamond" panose="00000500000000000000" pitchFamily="2" charset="0"/>
          </a:endParaRPr>
        </a:p>
      </xdr:txBody>
    </xdr:sp>
    <xdr:clientData/>
  </xdr:twoCellAnchor>
  <xdr:twoCellAnchor>
    <xdr:from>
      <xdr:col>12</xdr:col>
      <xdr:colOff>335521</xdr:colOff>
      <xdr:row>1</xdr:row>
      <xdr:rowOff>38115</xdr:rowOff>
    </xdr:from>
    <xdr:to>
      <xdr:col>18</xdr:col>
      <xdr:colOff>318810</xdr:colOff>
      <xdr:row>9</xdr:row>
      <xdr:rowOff>19439</xdr:rowOff>
    </xdr:to>
    <xdr:sp macro="" textlink="">
      <xdr:nvSpPr>
        <xdr:cNvPr id="14" name="Rectangle: Rounded Corners 13">
          <a:extLst>
            <a:ext uri="{FF2B5EF4-FFF2-40B4-BE49-F238E27FC236}">
              <a16:creationId xmlns:a16="http://schemas.microsoft.com/office/drawing/2014/main" id="{18DA8069-3EF4-4685-993E-E2595D69F66A}"/>
            </a:ext>
          </a:extLst>
        </xdr:cNvPr>
        <xdr:cNvSpPr/>
      </xdr:nvSpPr>
      <xdr:spPr>
        <a:xfrm>
          <a:off x="7566745" y="232503"/>
          <a:ext cx="3598902" cy="153642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latin typeface="EB Garamond" panose="00000500000000000000" pitchFamily="2" charset="0"/>
              <a:ea typeface="EB Garamond" panose="00000500000000000000" pitchFamily="2" charset="0"/>
            </a:rPr>
            <a:t>Total Orders</a:t>
          </a:r>
        </a:p>
        <a:p>
          <a:pPr algn="ctr"/>
          <a:r>
            <a:rPr lang="en-US" sz="3600" b="1">
              <a:solidFill>
                <a:schemeClr val="tx1"/>
              </a:solidFill>
              <a:latin typeface="EB Garamond" panose="00000500000000000000" pitchFamily="2" charset="0"/>
              <a:ea typeface="EB Garamond" panose="00000500000000000000" pitchFamily="2" charset="0"/>
            </a:rPr>
            <a:t>1000</a:t>
          </a:r>
        </a:p>
      </xdr:txBody>
    </xdr:sp>
    <xdr:clientData/>
  </xdr:twoCellAnchor>
  <xdr:twoCellAnchor>
    <xdr:from>
      <xdr:col>19</xdr:col>
      <xdr:colOff>134119</xdr:colOff>
      <xdr:row>1</xdr:row>
      <xdr:rowOff>51342</xdr:rowOff>
    </xdr:from>
    <xdr:to>
      <xdr:col>25</xdr:col>
      <xdr:colOff>110234</xdr:colOff>
      <xdr:row>9</xdr:row>
      <xdr:rowOff>12189</xdr:rowOff>
    </xdr:to>
    <xdr:sp macro="" textlink="Pivot_Tables!B2">
      <xdr:nvSpPr>
        <xdr:cNvPr id="15" name="Rectangle: Rounded Corners 14">
          <a:extLst>
            <a:ext uri="{FF2B5EF4-FFF2-40B4-BE49-F238E27FC236}">
              <a16:creationId xmlns:a16="http://schemas.microsoft.com/office/drawing/2014/main" id="{D99AEB86-BB6B-4BB1-A18D-EC4CC16CABB7}"/>
            </a:ext>
          </a:extLst>
        </xdr:cNvPr>
        <xdr:cNvSpPr/>
      </xdr:nvSpPr>
      <xdr:spPr>
        <a:xfrm>
          <a:off x="11583558" y="245730"/>
          <a:ext cx="3591727" cy="1515949"/>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0" u="none" strike="noStrike">
              <a:solidFill>
                <a:srgbClr val="000000"/>
              </a:solidFill>
              <a:latin typeface="EB Garamond" panose="00000500000000000000" pitchFamily="2" charset="0"/>
              <a:ea typeface="EB Garamond" panose="00000500000000000000" pitchFamily="2" charset="0"/>
              <a:cs typeface="Calibri"/>
            </a:rPr>
            <a:t>Total Revenue</a:t>
          </a:r>
        </a:p>
        <a:p>
          <a:pPr algn="ctr"/>
          <a:fld id="{68139A9D-06F1-48E0-B773-A08974E0DA96}" type="TxLink">
            <a:rPr lang="en-US" sz="3600" b="1" i="0" u="none" strike="noStrike">
              <a:solidFill>
                <a:srgbClr val="000000"/>
              </a:solidFill>
              <a:latin typeface="EB Garamond" panose="00000500000000000000" pitchFamily="2" charset="0"/>
              <a:ea typeface="EB Garamond" panose="00000500000000000000" pitchFamily="2" charset="0"/>
              <a:cs typeface="Calibri"/>
            </a:rPr>
            <a:pPr algn="ctr"/>
            <a:t>₹ 3,520,984.00</a:t>
          </a:fld>
          <a:endParaRPr lang="en-US" sz="3600" b="1" i="0" u="none" strike="noStrike">
            <a:solidFill>
              <a:srgbClr val="000000"/>
            </a:solidFill>
            <a:latin typeface="EB Garamond" panose="00000500000000000000" pitchFamily="2" charset="0"/>
            <a:ea typeface="EB Garamond" panose="00000500000000000000" pitchFamily="2" charset="0"/>
            <a:cs typeface="Calibri"/>
          </a:endParaRPr>
        </a:p>
      </xdr:txBody>
    </xdr:sp>
    <xdr:clientData/>
  </xdr:twoCellAnchor>
  <xdr:twoCellAnchor>
    <xdr:from>
      <xdr:col>34</xdr:col>
      <xdr:colOff>30973</xdr:colOff>
      <xdr:row>1</xdr:row>
      <xdr:rowOff>76200</xdr:rowOff>
    </xdr:from>
    <xdr:to>
      <xdr:col>42</xdr:col>
      <xdr:colOff>348630</xdr:colOff>
      <xdr:row>9</xdr:row>
      <xdr:rowOff>35112</xdr:rowOff>
    </xdr:to>
    <xdr:sp macro="" textlink="Pivot_Tables!B31">
      <xdr:nvSpPr>
        <xdr:cNvPr id="16" name="Rectangle: Rounded Corners 15">
          <a:extLst>
            <a:ext uri="{FF2B5EF4-FFF2-40B4-BE49-F238E27FC236}">
              <a16:creationId xmlns:a16="http://schemas.microsoft.com/office/drawing/2014/main" id="{C6EA876B-6646-4812-9431-72C108A8AAF6}"/>
            </a:ext>
          </a:extLst>
        </xdr:cNvPr>
        <xdr:cNvSpPr/>
      </xdr:nvSpPr>
      <xdr:spPr>
        <a:xfrm>
          <a:off x="20519442" y="270588"/>
          <a:ext cx="5138474" cy="1514014"/>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rgbClr val="000000"/>
              </a:solidFill>
              <a:latin typeface="EB Garamond" panose="00000500000000000000" pitchFamily="2" charset="0"/>
              <a:ea typeface="EB Garamond" panose="00000500000000000000" pitchFamily="2" charset="0"/>
              <a:cs typeface="Calibri"/>
            </a:rPr>
            <a:t>Avg.</a:t>
          </a:r>
          <a:r>
            <a:rPr lang="en-US" sz="3600" b="1" i="0" u="none" strike="noStrike" baseline="0">
              <a:solidFill>
                <a:srgbClr val="000000"/>
              </a:solidFill>
              <a:latin typeface="EB Garamond" panose="00000500000000000000" pitchFamily="2" charset="0"/>
              <a:ea typeface="EB Garamond" panose="00000500000000000000" pitchFamily="2" charset="0"/>
              <a:cs typeface="Calibri"/>
            </a:rPr>
            <a:t> Customer`s Spent</a:t>
          </a:r>
          <a:endParaRPr lang="en-US" sz="3600" b="1" i="0" u="none" strike="noStrike">
            <a:solidFill>
              <a:srgbClr val="000000"/>
            </a:solidFill>
            <a:latin typeface="EB Garamond" panose="00000500000000000000" pitchFamily="2" charset="0"/>
            <a:ea typeface="EB Garamond" panose="00000500000000000000" pitchFamily="2" charset="0"/>
            <a:cs typeface="Calibri"/>
          </a:endParaRPr>
        </a:p>
        <a:p>
          <a:pPr algn="ctr"/>
          <a:fld id="{3B4B70A3-4789-423F-8300-19B5F23E7E08}" type="TxLink">
            <a:rPr lang="en-US" sz="3600" b="1" i="0" u="none" strike="noStrike">
              <a:solidFill>
                <a:srgbClr val="000000"/>
              </a:solidFill>
              <a:latin typeface="EB Garamond" panose="00000500000000000000" pitchFamily="2" charset="0"/>
              <a:ea typeface="EB Garamond" panose="00000500000000000000" pitchFamily="2" charset="0"/>
              <a:cs typeface="Calibri"/>
            </a:rPr>
            <a:pPr algn="ctr"/>
            <a:t>₹ 3,520.98</a:t>
          </a:fld>
          <a:endParaRPr lang="en-US" sz="3600" b="1" i="0" u="none" strike="noStrike">
            <a:solidFill>
              <a:srgbClr val="000000"/>
            </a:solidFill>
            <a:latin typeface="EB Garamond" panose="00000500000000000000" pitchFamily="2" charset="0"/>
            <a:ea typeface="EB Garamond" panose="00000500000000000000" pitchFamily="2" charset="0"/>
            <a:cs typeface="Calibri"/>
          </a:endParaRPr>
        </a:p>
      </xdr:txBody>
    </xdr:sp>
    <xdr:clientData/>
  </xdr:twoCellAnchor>
  <xdr:twoCellAnchor editAs="oneCell">
    <xdr:from>
      <xdr:col>34</xdr:col>
      <xdr:colOff>436490</xdr:colOff>
      <xdr:row>11</xdr:row>
      <xdr:rowOff>16808</xdr:rowOff>
    </xdr:from>
    <xdr:to>
      <xdr:col>41</xdr:col>
      <xdr:colOff>590550</xdr:colOff>
      <xdr:row>20</xdr:row>
      <xdr:rowOff>171450</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12960C86-9801-E86A-11D5-BCAC136E698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1351803" y="2199621"/>
              <a:ext cx="4460153" cy="19405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34</xdr:col>
      <xdr:colOff>471968</xdr:colOff>
      <xdr:row>22</xdr:row>
      <xdr:rowOff>24418</xdr:rowOff>
    </xdr:from>
    <xdr:to>
      <xdr:col>42</xdr:col>
      <xdr:colOff>19050</xdr:colOff>
      <xdr:row>32</xdr:row>
      <xdr:rowOff>133350</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018E6EFC-B9B1-F10D-83E6-110E08983BA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1387281" y="4390043"/>
              <a:ext cx="4468332" cy="20933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127001</xdr:colOff>
      <xdr:row>1</xdr:row>
      <xdr:rowOff>0</xdr:rowOff>
    </xdr:from>
    <xdr:to>
      <xdr:col>9</xdr:col>
      <xdr:colOff>228600</xdr:colOff>
      <xdr:row>9</xdr:row>
      <xdr:rowOff>167105</xdr:rowOff>
    </xdr:to>
    <xdr:sp macro="" textlink="">
      <xdr:nvSpPr>
        <xdr:cNvPr id="22" name="Rectangle: Rounded Corners 21">
          <a:extLst>
            <a:ext uri="{FF2B5EF4-FFF2-40B4-BE49-F238E27FC236}">
              <a16:creationId xmlns:a16="http://schemas.microsoft.com/office/drawing/2014/main" id="{24D8D531-24D3-4419-8E8C-02B51EB8E22E}"/>
            </a:ext>
          </a:extLst>
        </xdr:cNvPr>
        <xdr:cNvSpPr/>
      </xdr:nvSpPr>
      <xdr:spPr>
        <a:xfrm>
          <a:off x="127001" y="190500"/>
          <a:ext cx="5587999" cy="16911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6" algn="ctr"/>
          <a:r>
            <a:rPr lang="en-US" sz="4000" b="1" u="none">
              <a:solidFill>
                <a:schemeClr val="accent1">
                  <a:lumMod val="75000"/>
                </a:schemeClr>
              </a:solidFill>
              <a:latin typeface="EB Garamond" panose="00000500000000000000" pitchFamily="2" charset="0"/>
              <a:ea typeface="EB Garamond" panose="00000500000000000000" pitchFamily="2" charset="0"/>
            </a:rPr>
            <a:t>Sales</a:t>
          </a:r>
          <a:endParaRPr lang="en-US" sz="4000" b="1" u="none" baseline="0">
            <a:solidFill>
              <a:schemeClr val="accent1">
                <a:lumMod val="75000"/>
              </a:schemeClr>
            </a:solidFill>
            <a:latin typeface="EB Garamond" panose="00000500000000000000" pitchFamily="2" charset="0"/>
            <a:ea typeface="EB Garamond" panose="00000500000000000000" pitchFamily="2" charset="0"/>
          </a:endParaRPr>
        </a:p>
        <a:p>
          <a:pPr lvl="6" algn="ctr"/>
          <a:r>
            <a:rPr lang="en-US" sz="4000" b="1" u="none" baseline="0">
              <a:solidFill>
                <a:schemeClr val="accent1">
                  <a:lumMod val="75000"/>
                </a:schemeClr>
              </a:solidFill>
              <a:latin typeface="EB Garamond" panose="00000500000000000000" pitchFamily="2" charset="0"/>
              <a:ea typeface="EB Garamond" panose="00000500000000000000" pitchFamily="2" charset="0"/>
            </a:rPr>
            <a:t>Analysis</a:t>
          </a:r>
          <a:endParaRPr lang="en-US" sz="4000" b="1" u="none">
            <a:solidFill>
              <a:schemeClr val="accent1">
                <a:lumMod val="75000"/>
              </a:schemeClr>
            </a:solidFill>
            <a:latin typeface="EB Garamond" panose="00000500000000000000" pitchFamily="2" charset="0"/>
            <a:ea typeface="EB Garamond" panose="00000500000000000000" pitchFamily="2" charset="0"/>
          </a:endParaRPr>
        </a:p>
      </xdr:txBody>
    </xdr:sp>
    <xdr:clientData/>
  </xdr:twoCellAnchor>
  <xdr:twoCellAnchor editAs="oneCell">
    <xdr:from>
      <xdr:col>0</xdr:col>
      <xdr:colOff>257174</xdr:colOff>
      <xdr:row>2</xdr:row>
      <xdr:rowOff>76200</xdr:rowOff>
    </xdr:from>
    <xdr:to>
      <xdr:col>5</xdr:col>
      <xdr:colOff>38099</xdr:colOff>
      <xdr:row>8</xdr:row>
      <xdr:rowOff>57150</xdr:rowOff>
    </xdr:to>
    <xdr:pic>
      <xdr:nvPicPr>
        <xdr:cNvPr id="28" name="Picture 27">
          <a:extLst>
            <a:ext uri="{FF2B5EF4-FFF2-40B4-BE49-F238E27FC236}">
              <a16:creationId xmlns:a16="http://schemas.microsoft.com/office/drawing/2014/main" id="{C27A81B1-43A3-5D22-ACFC-A26802466A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7174" y="457200"/>
          <a:ext cx="2828925" cy="1123950"/>
        </a:xfrm>
        <a:prstGeom prst="rect">
          <a:avLst/>
        </a:prstGeom>
      </xdr:spPr>
    </xdr:pic>
    <xdr:clientData/>
  </xdr:twoCellAnchor>
  <xdr:twoCellAnchor>
    <xdr:from>
      <xdr:col>24</xdr:col>
      <xdr:colOff>-1</xdr:colOff>
      <xdr:row>11</xdr:row>
      <xdr:rowOff>0</xdr:rowOff>
    </xdr:from>
    <xdr:to>
      <xdr:col>34</xdr:col>
      <xdr:colOff>225591</xdr:colOff>
      <xdr:row>36</xdr:row>
      <xdr:rowOff>0</xdr:rowOff>
    </xdr:to>
    <xdr:graphicFrame macro="">
      <xdr:nvGraphicFramePr>
        <xdr:cNvPr id="13" name="Chart 12">
          <a:extLst>
            <a:ext uri="{FF2B5EF4-FFF2-40B4-BE49-F238E27FC236}">
              <a16:creationId xmlns:a16="http://schemas.microsoft.com/office/drawing/2014/main" id="{963CD8C4-C22F-48D9-941D-A747CDA87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1610300923" backgroundQuery="1" createdVersion="8" refreshedVersion="8" minRefreshableVersion="3" recordCount="0" supportSubquery="1" supportAdvancedDrill="1" xr:uid="{78FFBE47-EA03-456C-B4C5-12645BDE5DDE}">
  <cacheSource type="external" connectionId="9"/>
  <cacheFields count="2">
    <cacheField name="[Measures].[Sum of Revenue]" caption="Sum of Revenue" numFmtId="0" hierarchy="43"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099305556" backgroundQuery="1" createdVersion="8" refreshedVersion="8" minRefreshableVersion="3" recordCount="0" supportSubquery="1" supportAdvancedDrill="1" xr:uid="{195DFD02-CAAF-450D-937B-0E4CC4FD7BE2}">
  <cacheSource type="external" connectionId="9"/>
  <cacheFields count="3">
    <cacheField name="[Products].[Product_Name].[Product_Name]" caption="Product_Name" numFmtId="0" hierarchy="33" level="1">
      <sharedItems count="5">
        <s v="Harum Pack"/>
        <s v="Magnam Set"/>
        <s v="Nam Gift"/>
        <s v="Nostrum Box"/>
        <s v="Quia Gift"/>
      </sharedItems>
    </cacheField>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09965278" backgroundQuery="1" createdVersion="8" refreshedVersion="8" minRefreshableVersion="3" recordCount="0" supportSubquery="1" supportAdvancedDrill="1" xr:uid="{8F4E54A2-3D6F-4E9E-B0D7-64C2B781424D}">
  <cacheSource type="external" connectionId="9"/>
  <cacheFields count="1">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023148" backgroundQuery="1" createdVersion="8" refreshedVersion="8" minRefreshableVersion="3" recordCount="0" supportSubquery="1" supportAdvancedDrill="1" xr:uid="{3827E59E-D83C-4D25-8D4A-08A034C4555D}">
  <cacheSource type="external" connectionId="9"/>
  <cacheFields count="3">
    <cacheField name="[Measures].[Sum of Revenue]" caption="Sum of Revenue" numFmtId="0" hierarchy="43"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Hour (Order)].[Hour (Order)]" caption="Hour (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0578703" backgroundQuery="1" createdVersion="8" refreshedVersion="8" minRefreshableVersion="3" recordCount="0" supportSubquery="1" supportAdvancedDrill="1" xr:uid="{8D87C029-913F-4D3E-ABC9-8029EB925FD4}">
  <cacheSource type="external" connectionId="9"/>
  <cacheFields count="1">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1157404" backgroundQuery="1" createdVersion="8" refreshedVersion="8" minRefreshableVersion="3" recordCount="0" supportSubquery="1" supportAdvancedDrill="1" xr:uid="{01579DC6-37BC-4CFA-B687-E9B6D699C718}">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127315" backgroundQuery="1" createdVersion="8" refreshedVersion="8" minRefreshableVersion="3" recordCount="0" supportSubquery="1" supportAdvancedDrill="1" xr:uid="{682E56FB-2E8A-429F-8AEE-45201A6160EC}">
  <cacheSource type="external" connectionId="9"/>
  <cacheFields count="1">
    <cacheField name="[Measures].[Average of Diff_Order_Delivery]" caption="Average of Diff_Order_Delivery" numFmtId="0" hierarchy="45"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185185" backgroundQuery="1" createdVersion="8" refreshedVersion="8" minRefreshableVersion="3" recordCount="0" supportSubquery="1" supportAdvancedDrill="1" xr:uid="{D4C09DBB-5D67-4888-BA0B-586B56DADE4C}">
  <cacheSource type="external" connectionId="9"/>
  <cacheFields count="3">
    <cacheField name="[Products].[Product_Name].[Product_Name]" caption="Product_Name" numFmtId="0" hierarchy="33" level="1">
      <sharedItems count="5">
        <s v="Harum Pack"/>
        <s v="Magnam Set"/>
        <s v="Nam Gift"/>
        <s v="Nostrum Box"/>
        <s v="Quia Gift"/>
      </sharedItems>
    </cacheField>
    <cacheField name="[Measures].[Sum of Revenue]" caption="Sum of Revenue" numFmtId="0" hierarchy="43" level="32767"/>
    <cacheField name="[Orders].[Day Name (Order Date)].[Day Name (Order Date)]" caption="Day Name (Order Date)" numFmtId="0" hierarchy="31" level="1">
      <sharedItems count="7">
        <s v="Friday"/>
        <s v="Monday"/>
        <s v="Saturday"/>
        <s v="Sunday"/>
        <s v="Thursday"/>
        <s v="Tuesday"/>
        <s v="Wednes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2430558" backgroundQuery="1" createdVersion="8" refreshedVersion="8" minRefreshableVersion="3" recordCount="0" supportSubquery="1" supportAdvancedDrill="1" xr:uid="{894A938F-24C9-431E-9E93-8B7A3E202620}">
  <cacheSource type="external" connectionId="9"/>
  <cacheFields count="2">
    <cacheField name="[Products].[Product_Name].[Product_Name]" caption="Product_Name" numFmtId="0" hierarchy="33" level="1">
      <sharedItems count="5">
        <s v="Deserunt Box"/>
        <s v="Dolores Gift"/>
        <s v="Harum Pack"/>
        <s v="Magnam Set"/>
        <s v="Quia Gift"/>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2777774" backgroundQuery="1" createdVersion="8" refreshedVersion="8" minRefreshableVersion="3" recordCount="0" supportSubquery="1" supportAdvancedDrill="1" xr:uid="{2604535D-A3C4-4D84-9C70-FA83F3E391BF}">
  <cacheSource type="external" connectionId="9"/>
  <cacheFields count="1">
    <cacheField name="[Measures].[Average of Revenue]" caption="Average of Revenue"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62103124998" backgroundQuery="1" createdVersion="8" refreshedVersion="8" minRefreshableVersion="3" recordCount="0" supportSubquery="1" supportAdvancedDrill="1" xr:uid="{8A41AED8-911F-43CC-B485-974DEEDDC222}">
  <cacheSource type="external" connectionId="9"/>
  <cacheFields count="3">
    <cacheField name="[Products].[Product_Name].[Product_Name]" caption="Product_Name" numFmtId="0" hierarchy="33" level="1">
      <sharedItems count="5">
        <s v="Harum Pack"/>
        <s v="Magnam Set"/>
        <s v="Nam Gift"/>
        <s v="Nostrum Box"/>
        <s v="Quia Gift"/>
      </sharedItems>
    </cacheField>
    <cacheField name="[Measures].[Sum of Revenue]" caption="Sum of Revenue" numFmtId="0" hierarchy="43" level="32767"/>
    <cacheField name="[Products].[Occasion].[Occasion]" caption="Occasion" numFmtId="0" hierarchy="36"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48948611111" backgroundQuery="1" createdVersion="3" refreshedVersion="8" minRefreshableVersion="3" recordCount="0" supportSubquery="1" supportAdvancedDrill="1" xr:uid="{FD2A14A2-DF8E-4F81-ABEE-903FEA7DE764}">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1444390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_PC" refreshedDate="46277.548957175924" backgroundQuery="1" createdVersion="3" refreshedVersion="8" minRefreshableVersion="3" recordCount="0" supportSubquery="1" supportAdvancedDrill="1" xr:uid="{64C9A195-27A0-4C6A-91B4-235DFA199B59}">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56758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EF193F-1FBC-442C-81E4-6953FCE7BDA3}" name="PivotTable14" cacheId="812" applyNumberFormats="0" applyBorderFormats="0" applyFontFormats="0" applyPatternFormats="0" applyAlignmentFormats="0" applyWidthHeightFormats="1" dataCaption="Values" tag="c78839fe-4b0b-409a-9efd-718a936c6f43" updatedVersion="8" minRefreshableVersion="5" useAutoFormatting="1" subtotalHiddenItems="1" itemPrintTitles="1" createdVersion="8" indent="0" outline="1" outlineData="1" multipleFieldFilters="0" chartFormat="5">
  <location ref="F14:G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Dark2"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FC795-52FE-401A-947B-FA10312F63B3}" name="PivotTable10" cacheId="806" applyNumberFormats="0" applyBorderFormats="0" applyFontFormats="0" applyPatternFormats="0" applyAlignmentFormats="0" applyWidthHeightFormats="1" dataCaption="Values" tag="bdb30b08-bbcb-4df3-b5e4-7f4c46465704" updatedVersion="8" minRefreshableVersion="5" useAutoFormatting="1" subtotalHiddenItems="1" itemPrintTitles="1" createdVersion="8" indent="0" outline="1" outlineData="1" multipleFieldFilters="0" chartFormat="25">
  <location ref="J25:K5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6">
    <format dxfId="514">
      <pivotArea grandRow="1" outline="0" collapsedLevelsAreSubtotals="1" fieldPosition="0"/>
    </format>
    <format dxfId="515">
      <pivotArea type="all" dataOnly="0" outline="0" fieldPosition="0"/>
    </format>
    <format dxfId="516">
      <pivotArea outline="0" collapsedLevelsAreSubtotals="1" fieldPosition="0"/>
    </format>
    <format dxfId="517">
      <pivotArea field="1" type="button" dataOnly="0" labelOnly="1" outline="0"/>
    </format>
    <format dxfId="518">
      <pivotArea dataOnly="0" labelOnly="1" grandRow="1" outline="0" fieldPosition="0"/>
    </format>
    <format dxfId="519">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BD707-64EF-4284-A55F-1E8F33B68D01}" name="PivotTable1" cacheId="803" applyNumberFormats="0" applyBorderFormats="0" applyFontFormats="0" applyPatternFormats="0" applyAlignmentFormats="0" applyWidthHeightFormats="1" dataCaption="Values" tag="a22f232b-8124-4b0f-86a7-bb8460e5d269" updatedVersion="8" minRefreshableVersion="5" useAutoFormatting="1" subtotalHiddenItems="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Sum of Revenue" fld="0" baseField="0" baseItem="0"/>
  </dataFields>
  <formats count="3">
    <format dxfId="520">
      <pivotArea type="all" dataOnly="0" outline="0" fieldPosition="0"/>
    </format>
    <format dxfId="521">
      <pivotArea outline="0" collapsedLevelsAreSubtotals="1" fieldPosition="0"/>
    </format>
    <format dxfId="522">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BF1A4-7ADD-4BB4-B513-E39AAB813E5A}" name="PivotTable7" cacheId="824" applyNumberFormats="0" applyBorderFormats="0" applyFontFormats="0" applyPatternFormats="0" applyAlignmentFormats="0" applyWidthHeightFormats="1" dataCaption="Values" tag="11c23871-81f5-4b0f-8384-b8f856874b67" updatedVersion="8" minRefreshableVersion="5" useAutoFormatting="1" subtotalHiddenItems="1" itemPrintTitles="1" createdVersion="8" indent="0" outline="1" outlineData="1" multipleFieldFilters="0">
  <location ref="B30:B31"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formats count="3">
    <format dxfId="492">
      <pivotArea type="all" dataOnly="0" outline="0" fieldPosition="0"/>
    </format>
    <format dxfId="493">
      <pivotArea outline="0" collapsedLevelsAreSubtotals="1" fieldPosition="0"/>
    </format>
    <format dxfId="494">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C58744-D6A7-4FD3-933D-40CE3B28231D}" name="PivotTable4" cacheId="818" applyNumberFormats="0" applyBorderFormats="0" applyFontFormats="0" applyPatternFormats="0" applyAlignmentFormats="0" applyWidthHeightFormats="1" dataCaption="Values" tag="d6bf3100-03bd-4e40-9b7f-1756b374e1de" updatedVersion="8" minRefreshableVersion="5" useAutoFormatting="1" subtotalHiddenItems="1" itemPrintTitles="1" createdVersion="8" indent="0" outline="1" outlineData="1" multipleFieldFilters="0" chartFormat="7">
  <location ref="J14:K22"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name="Sum of Revenue" fld="1" baseField="0" baseItem="0"/>
  </dataFields>
  <formats count="6">
    <format dxfId="502">
      <pivotArea grandRow="1" outline="0" collapsedLevelsAreSubtotals="1" fieldPosition="0"/>
    </format>
    <format dxfId="503">
      <pivotArea type="all" dataOnly="0" outline="0" fieldPosition="0"/>
    </format>
    <format dxfId="504">
      <pivotArea outline="0" collapsedLevelsAreSubtotals="1" fieldPosition="0"/>
    </format>
    <format dxfId="505">
      <pivotArea field="0" type="button" dataOnly="0" labelOnly="1" outline="0"/>
    </format>
    <format dxfId="506">
      <pivotArea dataOnly="0" labelOnly="1" grandRow="1" outline="0" fieldPosition="0"/>
    </format>
    <format dxfId="507">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4448C0-94B8-4AA8-AE6A-0663C9835ED4}" name="PivotTable3" cacheId="800" applyNumberFormats="0" applyBorderFormats="0" applyFontFormats="0" applyPatternFormats="0" applyAlignmentFormats="0" applyWidthHeightFormats="1" dataCaption="Values" tag="d35ede78-34e9-41eb-9263-ca381fca79f2" updatedVersion="8" minRefreshableVersion="5" useAutoFormatting="1" subtotalHiddenItems="1" itemPrintTitles="1" createdVersion="8" indent="0" outline="1" outlineData="1" multipleFieldFilters="0" chartFormat="8">
  <location ref="F1:G9"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formats count="6">
    <format dxfId="486">
      <pivotArea grandRow="1" outline="0" collapsedLevelsAreSubtotals="1" fieldPosition="0"/>
    </format>
    <format dxfId="487">
      <pivotArea type="all" dataOnly="0" outline="0" fieldPosition="0"/>
    </format>
    <format dxfId="488">
      <pivotArea outline="0" collapsedLevelsAreSubtotals="1" fieldPosition="0"/>
    </format>
    <format dxfId="489">
      <pivotArea field="0" type="button" dataOnly="0" labelOnly="1" outline="0"/>
    </format>
    <format dxfId="490">
      <pivotArea dataOnly="0" labelOnly="1" grandRow="1" outline="0" fieldPosition="0"/>
    </format>
    <format dxfId="49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9AD8B8-818D-4656-8B89-5B957894B95B}" name="PivotTable2" cacheId="815" applyNumberFormats="0" applyBorderFormats="0" applyFontFormats="0" applyPatternFormats="0" applyAlignmentFormats="0" applyWidthHeightFormats="1" dataCaption="Values" tag="254a69d7-0985-4052-96f2-4c74e9bfa7fb" updatedVersion="8" minRefreshableVersion="5" useAutoFormatting="1" subtotalHiddenItems="1" itemPrintTitles="1" createdVersion="8" indent="0" outline="1" outlineData="1" multipleFieldFilters="0">
  <location ref="B4:B5"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formats count="3">
    <format dxfId="508">
      <pivotArea type="all" dataOnly="0" outline="0" fieldPosition="0"/>
    </format>
    <format dxfId="509">
      <pivotArea outline="0" collapsedLevelsAreSubtotals="1" fieldPosition="0"/>
    </format>
    <format dxfId="510">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0CC68F-5F67-4889-9161-F5FC5BF41DFD}" name="PivotTable6" cacheId="821" applyNumberFormats="0" applyBorderFormats="0" applyFontFormats="0" applyPatternFormats="0" applyAlignmentFormats="0" applyWidthHeightFormats="1" dataCaption="Values" tag="0115a147-89e4-46e4-9a30-6b15032f7489" updatedVersion="8" minRefreshableVersion="5" useAutoFormatting="1" subtotalHiddenItems="1" itemPrintTitles="1" createdVersion="8" indent="0" outline="1" outlineData="1" multipleFieldFilters="0" chartFormat="7">
  <location ref="B22:C28"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formats count="7">
    <format dxfId="523">
      <pivotArea grandRow="1" outline="0" collapsedLevelsAreSubtotals="1" fieldPosition="0"/>
    </format>
    <format dxfId="524">
      <pivotArea type="all" dataOnly="0" outline="0" fieldPosition="0"/>
    </format>
    <format dxfId="525">
      <pivotArea outline="0" collapsedLevelsAreSubtotals="1" fieldPosition="0"/>
    </format>
    <format dxfId="526">
      <pivotArea field="0" type="button" dataOnly="0" labelOnly="1" outline="0" axis="axisRow" fieldPosition="0"/>
    </format>
    <format dxfId="527">
      <pivotArea dataOnly="0" labelOnly="1" fieldPosition="0">
        <references count="1">
          <reference field="0" count="0"/>
        </references>
      </pivotArea>
    </format>
    <format dxfId="528">
      <pivotArea dataOnly="0" labelOnly="1" grandRow="1" outline="0" fieldPosition="0"/>
    </format>
    <format dxfId="52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filters count="1">
    <filter fld="0" type="count" id="2"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9A7D3F-4B0A-487F-9F7B-367A7F3B4CB8}" name="PivotTable9" cacheId="827" applyNumberFormats="0" applyBorderFormats="0" applyFontFormats="0" applyPatternFormats="0" applyAlignmentFormats="0" applyWidthHeightFormats="1" dataCaption="Values" tag="ecec6b6a-bdd3-4412-8323-9fd955d4beeb" updatedVersion="8" minRefreshableVersion="5" useAutoFormatting="1" itemPrintTitles="1" createdVersion="8" indent="0" outline="1" outlineData="1" multipleFieldFilters="0" chartFormat="9">
  <location ref="J1:K9"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formats count="6">
    <format dxfId="542">
      <pivotArea grandRow="1" outline="0" collapsedLevelsAreSubtotals="1" fieldPosition="0"/>
    </format>
    <format dxfId="541">
      <pivotArea type="all" dataOnly="0" outline="0" fieldPosition="0"/>
    </format>
    <format dxfId="540">
      <pivotArea outline="0" collapsedLevelsAreSubtotals="1" fieldPosition="0"/>
    </format>
    <format dxfId="539">
      <pivotArea field="0" type="button" dataOnly="0" labelOnly="1" outline="0"/>
    </format>
    <format dxfId="538">
      <pivotArea dataOnly="0" labelOnly="1" grandRow="1" outline="0" fieldPosition="0"/>
    </format>
    <format dxfId="53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C252C9-4DEE-495B-AD39-9DB20078E4F9}" name="PivotTable12" cacheId="809" applyNumberFormats="0" applyBorderFormats="0" applyFontFormats="0" applyPatternFormats="0" applyAlignmentFormats="0" applyWidthHeightFormats="1" dataCaption="Values" tag="bde68bc9-49ed-4583-90ff-ae0583a294c8" updatedVersion="8" minRefreshableVersion="5" useAutoFormatting="1" subtotalHiddenItems="1" itemPrintTitles="1" createdVersion="8" indent="0" outline="1" outlineData="1" multipleFieldFilters="0">
  <location ref="B39:B40" firstHeaderRow="1" firstDataRow="1" firstDataCol="0"/>
  <pivotFields count="1">
    <pivotField dataField="1" subtotalTop="0" showAll="0" defaultSubtotal="0"/>
  </pivotFields>
  <rowItems count="1">
    <i/>
  </rowItems>
  <colItems count="1">
    <i/>
  </colItems>
  <dataFields count="1">
    <dataField name="Total Order" fld="0" subtotal="count" baseField="0" baseItem="0"/>
  </dataFields>
  <formats count="3">
    <format dxfId="511">
      <pivotArea type="all" dataOnly="0" outline="0" fieldPosition="0"/>
    </format>
    <format dxfId="512">
      <pivotArea outline="0" collapsedLevelsAreSubtotals="1" fieldPosition="0"/>
    </format>
    <format dxfId="513">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caption="Total Order"/>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4E0461-8398-400B-8862-4F8C3E69E64F}" name="PivotTable5" cacheId="789" applyNumberFormats="0" applyBorderFormats="0" applyFontFormats="0" applyPatternFormats="0" applyAlignmentFormats="0" applyWidthHeightFormats="1" dataCaption="Values" tag="a448092a-92a9-404d-95e9-d5cdd81b2c3b" updatedVersion="8" minRefreshableVersion="5" useAutoFormatting="1" subtotalHiddenItems="1" itemPrintTitles="1" createdVersion="8" indent="0" outline="1" outlineData="1" multipleFieldFilters="0" chartFormat="12">
  <location ref="B7:C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7">
    <format dxfId="495">
      <pivotArea grandRow="1" outline="0" collapsedLevelsAreSubtotals="1" fieldPosition="0"/>
    </format>
    <format dxfId="496">
      <pivotArea type="all" dataOnly="0" outline="0" fieldPosition="0"/>
    </format>
    <format dxfId="497">
      <pivotArea outline="0" collapsedLevelsAreSubtotals="1" fieldPosition="0"/>
    </format>
    <format dxfId="498">
      <pivotArea field="1" type="button" dataOnly="0" labelOnly="1" outline="0" axis="axisRow" fieldPosition="0"/>
    </format>
    <format dxfId="499">
      <pivotArea dataOnly="0" labelOnly="1" fieldPosition="0">
        <references count="1">
          <reference field="1" count="0"/>
        </references>
      </pivotArea>
    </format>
    <format dxfId="500">
      <pivotArea dataOnly="0" labelOnly="1" grandRow="1" outline="0" fieldPosition="0"/>
    </format>
    <format dxfId="50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0DEA34C-A6D6-42E1-A1A5-F93F2B3A3B3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DDAA7DA-B28D-4067-AE81-4285ADC2173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21C7A5C-D0F1-4F60-AB0D-E488F947EA15}"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 tableColumnId="11"/>
      <queryTableField id="12" name="Hour (Order)" tableColumnId="12"/>
      <queryTableField id="13" name="Diff_Order_Delivery" tableColumnId="13"/>
      <queryTableField id="14" name="Days" tableColumnId="14"/>
      <queryTableField id="15" name="Hour (Delivery)" tableColumnId="15"/>
      <queryTableField id="16" name="Price (INR)" tableColumnId="16"/>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CE8356A-3589-4EF1-ADBF-3841136920C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28D7F2D-3EA6-4F52-97E0-A2F0946CCB00}" sourceName="[Products].[Occasion]">
  <pivotTables>
    <pivotTable tabId="1" name="PivotTable6"/>
    <pivotTable tabId="1" name="PivotTable1"/>
    <pivotTable tabId="1" name="PivotTable10"/>
    <pivotTable tabId="1" name="PivotTable12"/>
    <pivotTable tabId="1" name="PivotTable2"/>
    <pivotTable tabId="1" name="PivotTable4"/>
    <pivotTable tabId="1" name="PivotTable5"/>
    <pivotTable tabId="1" name="PivotTable7"/>
    <pivotTable tabId="1" name="PivotTable3"/>
    <pivotTable tabId="1" name="PivotTable14"/>
  </pivotTables>
  <data>
    <olap pivotCacheId="151444390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79C6294-FFAD-4B47-8AC6-5100F55B2ED9}" cache="Slicer_Occasion" caption="Occasion"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D29675E-BFEA-4D1B-8B89-0335BC361BB7}" cache="Slicer_Occasion" caption="Occasion" level="1" style="SlicerStyleDark1"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FC38D-BF08-4780-8F9D-194DCC0D5A88}" name="fnp_datasets" displayName="fnp_datasets" ref="A1:F4" tableType="queryTable" totalsRowShown="0">
  <autoFilter ref="A1:F4" xr:uid="{C3FFC38D-BF08-4780-8F9D-194DCC0D5A88}"/>
  <tableColumns count="6">
    <tableColumn id="1" xr3:uid="{9C657C13-599B-4AA7-846D-1DFCF17FAF82}" uniqueName="1" name="Name" queryTableFieldId="1" dataDxfId="560"/>
    <tableColumn id="2" xr3:uid="{F86F3A5D-8D0F-4AA7-AC7A-7363F1BCD54B}" uniqueName="2" name="Extension" queryTableFieldId="2" dataDxfId="559"/>
    <tableColumn id="3" xr3:uid="{0E1D6776-BB79-49F9-B4C4-335ED86FA90E}" uniqueName="3" name="Date accessed" queryTableFieldId="3" dataDxfId="536"/>
    <tableColumn id="4" xr3:uid="{0D5EB2C6-A88A-4B65-8397-37D57CD6D4D5}" uniqueName="4" name="Date modified" queryTableFieldId="4" dataDxfId="535"/>
    <tableColumn id="5" xr3:uid="{B532FE5F-D2E6-4844-A010-56EC8C931381}" uniqueName="5" name="Date created" queryTableFieldId="5" dataDxfId="534"/>
    <tableColumn id="6" xr3:uid="{2059F250-876A-4B13-A514-C2E78F74733F}" uniqueName="6" name="Folder Path" queryTableFieldId="6" dataDxfId="55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D2CCD7-FFCF-4E07-87A3-73D7B22282FB}" name="Customers" displayName="Customers" ref="A1:G101" tableType="queryTable" totalsRowShown="0">
  <autoFilter ref="A1:G101" xr:uid="{05D2CCD7-FFCF-4E07-87A3-73D7B22282FB}"/>
  <tableColumns count="7">
    <tableColumn id="1" xr3:uid="{05535BA0-99B7-43CB-B503-53C250B7217C}" uniqueName="1" name="Customer_ID" queryTableFieldId="1" dataDxfId="557"/>
    <tableColumn id="2" xr3:uid="{EE2F94CB-6D09-440C-9DE0-F99AA56876D9}" uniqueName="2" name="Name" queryTableFieldId="2" dataDxfId="556"/>
    <tableColumn id="3" xr3:uid="{16E36B64-2675-4012-82F3-71B1E572EF72}" uniqueName="3" name="City" queryTableFieldId="3" dataDxfId="555"/>
    <tableColumn id="4" xr3:uid="{5FC6FFDF-40E0-4E53-A240-9B73535A0990}" uniqueName="4" name="Contact_Number" queryTableFieldId="4" dataDxfId="554"/>
    <tableColumn id="5" xr3:uid="{D91D381D-56B2-4C75-9E9F-049D32D2D72E}" uniqueName="5" name="Email" queryTableFieldId="5" dataDxfId="553"/>
    <tableColumn id="6" xr3:uid="{1C49E393-2732-43AC-920A-E14E1AB63B72}" uniqueName="6" name="Gender" queryTableFieldId="6" dataDxfId="552"/>
    <tableColumn id="7" xr3:uid="{08F8D4BD-0BF3-4031-BEB7-871E3539C937}" uniqueName="7" name="Address" queryTableFieldId="7" dataDxfId="5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02FA70-FF0B-4F72-BF59-AFDDCF5C8F1F}" name="Orders" displayName="Orders" ref="A1:R1001" tableType="queryTable" totalsRowShown="0">
  <autoFilter ref="A1:R1001" xr:uid="{CA02FA70-FF0B-4F72-BF59-AFDDCF5C8F1F}"/>
  <tableColumns count="18">
    <tableColumn id="1" xr3:uid="{6006B09F-E47C-4195-910D-7AE12ADCCB3C}" uniqueName="1" name="Order_ID" queryTableFieldId="1"/>
    <tableColumn id="2" xr3:uid="{40692B6F-E9C8-40B1-8A8B-48E09EE780C8}" uniqueName="2" name="Customer_ID" queryTableFieldId="2" dataDxfId="550"/>
    <tableColumn id="3" xr3:uid="{C8BA5061-75BD-4A9F-A4B8-7E95FC6BB4EC}" uniqueName="3" name="Product_ID" queryTableFieldId="3"/>
    <tableColumn id="4" xr3:uid="{857B70A0-B160-4239-BBDE-6EC7308118F0}" uniqueName="4" name="Quantity" queryTableFieldId="4"/>
    <tableColumn id="5" xr3:uid="{D8CAA1DA-85EF-49AE-9012-861277ACA840}" uniqueName="5" name="Order_Date" queryTableFieldId="5" dataDxfId="533"/>
    <tableColumn id="6" xr3:uid="{CADBD10B-AE11-4442-96A6-1BC8C54086AC}" uniqueName="6" name="Order_Time" queryTableFieldId="6" dataDxfId="532"/>
    <tableColumn id="7" xr3:uid="{ABEBE688-24B5-4460-80D9-E637B2B9078B}" uniqueName="7" name="Delivery_Date" queryTableFieldId="7" dataDxfId="531"/>
    <tableColumn id="8" xr3:uid="{C2B8BEC2-F75A-4920-B451-640524EB34D4}" uniqueName="8" name="Delivery_Time" queryTableFieldId="8" dataDxfId="530"/>
    <tableColumn id="9" xr3:uid="{7DF65840-5D4C-42A4-AA00-7D9A426FCEE3}" uniqueName="9" name="Location" queryTableFieldId="9" dataDxfId="549"/>
    <tableColumn id="10" xr3:uid="{816F0572-FD32-408B-AAA7-5DA57D7A91B6}" uniqueName="10" name="Occasion" queryTableFieldId="10" dataDxfId="548"/>
    <tableColumn id="11" xr3:uid="{59B9CD15-7773-46E2-A266-AB54B66F369D}" uniqueName="11" name="Month Name (Order)" queryTableFieldId="11" dataDxfId="547"/>
    <tableColumn id="12" xr3:uid="{841AFF20-AEDC-45B9-82F9-4A294A1FBA83}" uniqueName="12" name="Hour (Order)" queryTableFieldId="12"/>
    <tableColumn id="13" xr3:uid="{E6F07438-5DB3-45D9-AE01-317B936E46B2}" uniqueName="13" name="Diff_Order_Delivery" queryTableFieldId="13" dataDxfId="546"/>
    <tableColumn id="14" xr3:uid="{25F991B0-C4F6-4137-9F5D-063FF71C1181}" uniqueName="14" name="Days" queryTableFieldId="14"/>
    <tableColumn id="15" xr3:uid="{35B0DA32-E2A9-4757-8BD0-9EB11B2139DA}" uniqueName="15" name="Hour (Delivery)" queryTableFieldId="15"/>
    <tableColumn id="16" xr3:uid="{992D23DE-7A3C-4AEA-9FD4-E4E137351ECD}" uniqueName="16" name="Price (INR)" queryTableFieldId="16"/>
    <tableColumn id="17" xr3:uid="{E6C93953-8B28-4DCB-9809-2BBF9D7C30DA}" uniqueName="17" name="Revenue" queryTableFieldId="17"/>
    <tableColumn id="18" xr3:uid="{4A1522DD-CEEE-4E8E-B460-491312F25AFE}" uniqueName="18" name="Day Name (Order Date)" queryTableField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7B51CE-9B0A-4055-AD2D-F5C601F49D77}" name="Products" displayName="Products" ref="A1:E71" tableType="queryTable" totalsRowShown="0">
  <autoFilter ref="A1:E71" xr:uid="{267B51CE-9B0A-4055-AD2D-F5C601F49D77}"/>
  <tableColumns count="5">
    <tableColumn id="1" xr3:uid="{2D7EDEE7-6912-4A79-9A0D-8DE1D4506DBD}" uniqueName="1" name="Product_ID" queryTableFieldId="1"/>
    <tableColumn id="2" xr3:uid="{C105DBA6-735E-4B3A-94B7-E6A256AC2029}" uniqueName="2" name="Product_Name" queryTableFieldId="2" dataDxfId="545"/>
    <tableColumn id="3" xr3:uid="{2364F64F-84A6-4CF1-A802-403F1E11353B}" uniqueName="3" name="Category" queryTableFieldId="3" dataDxfId="544"/>
    <tableColumn id="4" xr3:uid="{AC8E4156-ED92-4BCE-9C4D-9FC0DD7B792C}" uniqueName="4" name="Price (INR)" queryTableFieldId="4"/>
    <tableColumn id="5" xr3:uid="{6010DC8D-6154-4025-B35A-12BE3AA4BC86}" uniqueName="5" name="Occasion" queryTableFieldId="5" dataDxfId="5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336CBDA-A8A2-4213-B730-6372BBD9FCCA}" sourceName="[Orders].[Order_Date]">
  <pivotTables>
    <pivotTable tabId="1" name="PivotTable3"/>
    <pivotTable tabId="1" name="PivotTable1"/>
    <pivotTable tabId="1" name="PivotTable10"/>
    <pivotTable tabId="1" name="PivotTable12"/>
    <pivotTable tabId="1" name="PivotTable14"/>
    <pivotTable tabId="1" name="PivotTable2"/>
    <pivotTable tabId="1" name="PivotTable4"/>
    <pivotTable tabId="1" name="PivotTable6"/>
    <pivotTable tabId="1" name="PivotTable7"/>
    <pivotTable tabId="1" name="PivotTable9"/>
  </pivotTables>
  <state minimalRefreshVersion="6" lastRefreshVersion="6" pivotCacheId="567585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A722F62-D9DF-4304-BFD0-F9ED5A7F8D70}" sourceName="[Orders].[Delivery_Date]">
  <pivotTables>
    <pivotTable tabId="1" name="PivotTable3"/>
    <pivotTable tabId="1" name="PivotTable1"/>
    <pivotTable tabId="1" name="PivotTable10"/>
    <pivotTable tabId="1" name="PivotTable12"/>
    <pivotTable tabId="1" name="PivotTable14"/>
    <pivotTable tabId="1" name="PivotTable2"/>
    <pivotTable tabId="1" name="PivotTable4"/>
    <pivotTable tabId="1" name="PivotTable5"/>
    <pivotTable tabId="1" name="PivotTable6"/>
    <pivotTable tabId="1" name="PivotTable7"/>
    <pivotTable tabId="1" name="PivotTable9"/>
  </pivotTables>
  <state minimalRefreshVersion="6" lastRefreshVersion="6" pivotCacheId="56758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BDE1363-E50F-409C-AF0A-4ECCABFA94C8}" cache="Timeline_Order_Date" caption="Order_Date" showSelectionLabel="0" level="2" selectionLevel="2" scrollPosition="2023-01-01T00:00:00" style="TimeSlicerStyleDark1"/>
  <timeline name="Delivery_Date" xr10:uid="{97DA5405-A677-41A1-B377-9F8AF4E6BA04}" cache="Timeline_Delivery_Date" caption="Delivery_Date" level="2" selectionLevel="2" scrollPosition="2024-06-03T00:00:00" style="TimeSlicerStyleDark1"/>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28EA-AB6A-450E-B6DC-76D245318FA9}">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85546875" bestFit="1" customWidth="1"/>
    <col min="6" max="6" width="62.140625" bestFit="1" customWidth="1"/>
  </cols>
  <sheetData>
    <row r="1" spans="1:6" x14ac:dyDescent="0.25">
      <c r="A1" t="s">
        <v>0</v>
      </c>
      <c r="B1" t="s">
        <v>1</v>
      </c>
      <c r="C1" t="s">
        <v>2</v>
      </c>
      <c r="D1" t="s">
        <v>3</v>
      </c>
      <c r="E1" t="s">
        <v>4</v>
      </c>
      <c r="F1" t="s">
        <v>5</v>
      </c>
    </row>
    <row r="2" spans="1:6" x14ac:dyDescent="0.25">
      <c r="A2" t="s">
        <v>6</v>
      </c>
      <c r="B2" t="s">
        <v>7</v>
      </c>
      <c r="C2" s="1">
        <v>46276.756163966049</v>
      </c>
      <c r="D2" s="1">
        <v>45589.673842592594</v>
      </c>
      <c r="E2" s="1">
        <v>46276.761378780866</v>
      </c>
      <c r="F2" t="s">
        <v>8</v>
      </c>
    </row>
    <row r="3" spans="1:6" x14ac:dyDescent="0.25">
      <c r="A3" t="s">
        <v>9</v>
      </c>
      <c r="B3" t="s">
        <v>7</v>
      </c>
      <c r="C3" s="1">
        <v>46276.756145177467</v>
      </c>
      <c r="D3" s="1">
        <v>45589.673842592594</v>
      </c>
      <c r="E3" s="1">
        <v>46276.761378780866</v>
      </c>
      <c r="F3" t="s">
        <v>8</v>
      </c>
    </row>
    <row r="4" spans="1:6" x14ac:dyDescent="0.25">
      <c r="A4" t="s">
        <v>10</v>
      </c>
      <c r="B4" t="s">
        <v>7</v>
      </c>
      <c r="C4" s="1">
        <v>46276.756107677473</v>
      </c>
      <c r="D4" s="1">
        <v>46276.761926080246</v>
      </c>
      <c r="E4" s="1">
        <v>46276.761925733023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F5A0-4967-4A20-87A6-FD6EE80A7C79}">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DC0C-6F61-4B9D-A1B0-62620F28E3A2}">
  <dimension ref="A1:R1001"/>
  <sheetViews>
    <sheetView topLeftCell="F965" zoomScale="59" workbookViewId="0">
      <selection activeCell="I9" sqref="I9"/>
    </sheetView>
  </sheetViews>
  <sheetFormatPr defaultRowHeight="15" x14ac:dyDescent="0.25"/>
  <cols>
    <col min="1" max="1" width="16.85546875" bestFit="1" customWidth="1"/>
    <col min="2" max="2" width="22.42578125" bestFit="1" customWidth="1"/>
    <col min="3" max="3" width="20" bestFit="1" customWidth="1"/>
    <col min="4" max="4" width="16.140625" bestFit="1" customWidth="1"/>
    <col min="5" max="5" width="20" bestFit="1" customWidth="1"/>
    <col min="6" max="6" width="20.42578125" bestFit="1" customWidth="1"/>
    <col min="7" max="7" width="23.42578125" bestFit="1" customWidth="1"/>
    <col min="8" max="8" width="23.5703125" bestFit="1" customWidth="1"/>
    <col min="9" max="9" width="30.85546875" bestFit="1" customWidth="1"/>
    <col min="10" max="10" width="19" bestFit="1" customWidth="1"/>
    <col min="11" max="11" width="31.85546875" bestFit="1" customWidth="1"/>
    <col min="12" max="12" width="21.7109375" bestFit="1" customWidth="1"/>
    <col min="13" max="13" width="30.85546875" bestFit="1" customWidth="1"/>
    <col min="14" max="14" width="12" bestFit="1" customWidth="1"/>
    <col min="15" max="15" width="24.85546875" bestFit="1" customWidth="1"/>
    <col min="16" max="16" width="19.7109375" bestFit="1" customWidth="1"/>
    <col min="17" max="17" width="16.5703125" bestFit="1" customWidth="1"/>
    <col min="18" max="18" width="35" bestFit="1" customWidth="1"/>
  </cols>
  <sheetData>
    <row r="1" spans="1:1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row>
    <row r="2" spans="1:18" x14ac:dyDescent="0.25">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937</v>
      </c>
    </row>
    <row r="3" spans="1:18" x14ac:dyDescent="0.25">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938</v>
      </c>
    </row>
    <row r="4" spans="1:18" x14ac:dyDescent="0.25">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v>6170</v>
      </c>
      <c r="R4" t="s">
        <v>939</v>
      </c>
    </row>
    <row r="5" spans="1:18" x14ac:dyDescent="0.25">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937</v>
      </c>
    </row>
    <row r="6" spans="1:18" x14ac:dyDescent="0.25">
      <c r="A6">
        <v>43</v>
      </c>
      <c r="B6" t="s">
        <v>287</v>
      </c>
      <c r="C6">
        <v>49</v>
      </c>
      <c r="D6">
        <v>3</v>
      </c>
      <c r="E6" s="2">
        <v>44969</v>
      </c>
      <c r="F6" s="3">
        <v>0.93837962962962962</v>
      </c>
      <c r="G6" s="2">
        <v>44973</v>
      </c>
      <c r="H6" s="3">
        <v>0.11651620370370371</v>
      </c>
      <c r="I6" t="s">
        <v>624</v>
      </c>
      <c r="J6" t="s">
        <v>621</v>
      </c>
      <c r="K6" t="s">
        <v>622</v>
      </c>
      <c r="L6">
        <v>22</v>
      </c>
      <c r="M6">
        <v>4</v>
      </c>
      <c r="N6">
        <v>4</v>
      </c>
      <c r="O6">
        <v>2</v>
      </c>
      <c r="P6">
        <v>903</v>
      </c>
      <c r="Q6">
        <v>2709</v>
      </c>
      <c r="R6" t="s">
        <v>940</v>
      </c>
    </row>
    <row r="7" spans="1:18" x14ac:dyDescent="0.25">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937</v>
      </c>
    </row>
    <row r="8" spans="1:18" x14ac:dyDescent="0.25">
      <c r="A8">
        <v>87</v>
      </c>
      <c r="B8" t="s">
        <v>339</v>
      </c>
      <c r="C8">
        <v>2</v>
      </c>
      <c r="D8">
        <v>5</v>
      </c>
      <c r="E8" s="2">
        <v>44961</v>
      </c>
      <c r="F8" s="3">
        <v>0.55371527777777774</v>
      </c>
      <c r="G8" s="2">
        <v>44968</v>
      </c>
      <c r="H8" s="3">
        <v>0.96291666666666664</v>
      </c>
      <c r="I8" t="s">
        <v>625</v>
      </c>
      <c r="J8" t="s">
        <v>621</v>
      </c>
      <c r="K8" t="s">
        <v>622</v>
      </c>
      <c r="L8">
        <v>13</v>
      </c>
      <c r="M8">
        <v>7</v>
      </c>
      <c r="N8">
        <v>7</v>
      </c>
      <c r="O8">
        <v>23</v>
      </c>
      <c r="P8">
        <v>441</v>
      </c>
      <c r="Q8">
        <v>2205</v>
      </c>
      <c r="R8" t="s">
        <v>937</v>
      </c>
    </row>
    <row r="9" spans="1:18" x14ac:dyDescent="0.25">
      <c r="A9">
        <v>89</v>
      </c>
      <c r="B9" t="s">
        <v>366</v>
      </c>
      <c r="C9">
        <v>3</v>
      </c>
      <c r="D9">
        <v>5</v>
      </c>
      <c r="E9" s="2">
        <v>44969</v>
      </c>
      <c r="F9" s="3">
        <v>0.9561574074074074</v>
      </c>
      <c r="G9" s="2">
        <v>44970</v>
      </c>
      <c r="H9" s="3">
        <v>0.61228009259259264</v>
      </c>
      <c r="I9" t="s">
        <v>626</v>
      </c>
      <c r="J9" t="s">
        <v>621</v>
      </c>
      <c r="K9" t="s">
        <v>622</v>
      </c>
      <c r="L9">
        <v>22</v>
      </c>
      <c r="M9">
        <v>1</v>
      </c>
      <c r="N9">
        <v>1</v>
      </c>
      <c r="O9">
        <v>14</v>
      </c>
      <c r="P9">
        <v>1534</v>
      </c>
      <c r="Q9">
        <v>7670</v>
      </c>
      <c r="R9" t="s">
        <v>940</v>
      </c>
    </row>
    <row r="10" spans="1:18" x14ac:dyDescent="0.25">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v>942</v>
      </c>
      <c r="R10" t="s">
        <v>940</v>
      </c>
    </row>
    <row r="11" spans="1:18" x14ac:dyDescent="0.25">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v>6170</v>
      </c>
      <c r="R11" t="s">
        <v>937</v>
      </c>
    </row>
    <row r="12" spans="1:18" x14ac:dyDescent="0.25">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937</v>
      </c>
    </row>
    <row r="13" spans="1:18" x14ac:dyDescent="0.25">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v>3612</v>
      </c>
      <c r="R13" t="s">
        <v>937</v>
      </c>
    </row>
    <row r="14" spans="1:18" x14ac:dyDescent="0.25">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v>1180</v>
      </c>
      <c r="R14" t="s">
        <v>941</v>
      </c>
    </row>
    <row r="15" spans="1:18" x14ac:dyDescent="0.25">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941</v>
      </c>
    </row>
    <row r="16" spans="1:18" x14ac:dyDescent="0.25">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v>3068</v>
      </c>
      <c r="R16" t="s">
        <v>941</v>
      </c>
    </row>
    <row r="17" spans="1:18" x14ac:dyDescent="0.25">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942</v>
      </c>
    </row>
    <row r="18" spans="1:18" x14ac:dyDescent="0.25">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v>441</v>
      </c>
      <c r="R18" t="s">
        <v>938</v>
      </c>
    </row>
    <row r="19" spans="1:18" x14ac:dyDescent="0.25">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v>708</v>
      </c>
      <c r="R19" t="s">
        <v>937</v>
      </c>
    </row>
    <row r="20" spans="1:18" x14ac:dyDescent="0.25">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v>4515</v>
      </c>
      <c r="R20" t="s">
        <v>937</v>
      </c>
    </row>
    <row r="21" spans="1:18" x14ac:dyDescent="0.25">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v>5968</v>
      </c>
      <c r="R21" t="s">
        <v>938</v>
      </c>
    </row>
    <row r="22" spans="1:18" x14ac:dyDescent="0.25">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v>1791</v>
      </c>
      <c r="R22" t="s">
        <v>937</v>
      </c>
    </row>
    <row r="23" spans="1:18" x14ac:dyDescent="0.25">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v>1806</v>
      </c>
      <c r="R23" t="s">
        <v>940</v>
      </c>
    </row>
    <row r="24" spans="1:18" x14ac:dyDescent="0.25">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v>1180</v>
      </c>
      <c r="R24" t="s">
        <v>940</v>
      </c>
    </row>
    <row r="25" spans="1:18" x14ac:dyDescent="0.25">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v>2709</v>
      </c>
      <c r="R25" t="s">
        <v>937</v>
      </c>
    </row>
    <row r="26" spans="1:18" x14ac:dyDescent="0.25">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v>1534</v>
      </c>
      <c r="R26" t="s">
        <v>940</v>
      </c>
    </row>
    <row r="27" spans="1:18" x14ac:dyDescent="0.25">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v>6170</v>
      </c>
      <c r="R27" t="s">
        <v>938</v>
      </c>
    </row>
    <row r="28" spans="1:18" x14ac:dyDescent="0.25">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v>1194</v>
      </c>
      <c r="R28" t="s">
        <v>940</v>
      </c>
    </row>
    <row r="29" spans="1:18" x14ac:dyDescent="0.25">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v>2709</v>
      </c>
      <c r="R29" t="s">
        <v>942</v>
      </c>
    </row>
    <row r="30" spans="1:18" x14ac:dyDescent="0.25">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v>708</v>
      </c>
      <c r="R30" t="s">
        <v>943</v>
      </c>
    </row>
    <row r="31" spans="1:18" x14ac:dyDescent="0.25">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v>1492</v>
      </c>
      <c r="R31" t="s">
        <v>939</v>
      </c>
    </row>
    <row r="32" spans="1:18" x14ac:dyDescent="0.25">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942</v>
      </c>
    </row>
    <row r="33" spans="1:18" x14ac:dyDescent="0.25">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v>1806</v>
      </c>
      <c r="R33" t="s">
        <v>939</v>
      </c>
    </row>
    <row r="34" spans="1:18" x14ac:dyDescent="0.25">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v>1534</v>
      </c>
      <c r="R34" t="s">
        <v>937</v>
      </c>
    </row>
    <row r="35" spans="1:18" x14ac:dyDescent="0.25">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v>3612</v>
      </c>
      <c r="R35" t="s">
        <v>937</v>
      </c>
    </row>
    <row r="36" spans="1:18" x14ac:dyDescent="0.25">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v>1534</v>
      </c>
      <c r="R36" t="s">
        <v>937</v>
      </c>
    </row>
    <row r="37" spans="1:18" x14ac:dyDescent="0.25">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v>2205</v>
      </c>
      <c r="R37" t="s">
        <v>937</v>
      </c>
    </row>
    <row r="38" spans="1:18" x14ac:dyDescent="0.25">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941</v>
      </c>
    </row>
    <row r="39" spans="1:18" x14ac:dyDescent="0.25">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938</v>
      </c>
    </row>
    <row r="40" spans="1:18" x14ac:dyDescent="0.25">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v>597</v>
      </c>
      <c r="R40" t="s">
        <v>938</v>
      </c>
    </row>
    <row r="41" spans="1:18" x14ac:dyDescent="0.25">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v>903</v>
      </c>
      <c r="R41" t="s">
        <v>939</v>
      </c>
    </row>
    <row r="42" spans="1:18" x14ac:dyDescent="0.25">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v>7460</v>
      </c>
      <c r="R42" t="s">
        <v>940</v>
      </c>
    </row>
    <row r="43" spans="1:18" x14ac:dyDescent="0.25">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v>1234</v>
      </c>
      <c r="R43" t="s">
        <v>937</v>
      </c>
    </row>
    <row r="44" spans="1:18" x14ac:dyDescent="0.25">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v>882</v>
      </c>
      <c r="R44" t="s">
        <v>941</v>
      </c>
    </row>
    <row r="45" spans="1:18" x14ac:dyDescent="0.25">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938</v>
      </c>
    </row>
    <row r="46" spans="1:18" x14ac:dyDescent="0.25">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v>2709</v>
      </c>
      <c r="R46" t="s">
        <v>937</v>
      </c>
    </row>
    <row r="47" spans="1:18" x14ac:dyDescent="0.25">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v>1570</v>
      </c>
      <c r="R47" t="s">
        <v>940</v>
      </c>
    </row>
    <row r="48" spans="1:18" x14ac:dyDescent="0.25">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v>3612</v>
      </c>
      <c r="R48" t="s">
        <v>941</v>
      </c>
    </row>
    <row r="49" spans="1:18" x14ac:dyDescent="0.25">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v>1570</v>
      </c>
      <c r="R49" t="s">
        <v>942</v>
      </c>
    </row>
    <row r="50" spans="1:18" x14ac:dyDescent="0.25">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v>3068</v>
      </c>
      <c r="R50" t="s">
        <v>942</v>
      </c>
    </row>
    <row r="51" spans="1:18" x14ac:dyDescent="0.25">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940</v>
      </c>
    </row>
    <row r="52" spans="1:18" x14ac:dyDescent="0.25">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940</v>
      </c>
    </row>
    <row r="53" spans="1:18" x14ac:dyDescent="0.25">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v>5480</v>
      </c>
      <c r="R53" t="s">
        <v>938</v>
      </c>
    </row>
    <row r="54" spans="1:18" x14ac:dyDescent="0.25">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v>1096</v>
      </c>
      <c r="R54" t="s">
        <v>942</v>
      </c>
    </row>
    <row r="55" spans="1:18" x14ac:dyDescent="0.25">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940</v>
      </c>
    </row>
    <row r="56" spans="1:18" x14ac:dyDescent="0.25">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v>628</v>
      </c>
      <c r="R56" t="s">
        <v>937</v>
      </c>
    </row>
    <row r="57" spans="1:18" x14ac:dyDescent="0.25">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v>1096</v>
      </c>
      <c r="R57" t="s">
        <v>940</v>
      </c>
    </row>
    <row r="58" spans="1:18" x14ac:dyDescent="0.25">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943</v>
      </c>
    </row>
    <row r="59" spans="1:18" x14ac:dyDescent="0.25">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941</v>
      </c>
    </row>
    <row r="60" spans="1:18" x14ac:dyDescent="0.25">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v>944</v>
      </c>
      <c r="R60" t="s">
        <v>942</v>
      </c>
    </row>
    <row r="61" spans="1:18" x14ac:dyDescent="0.25">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937</v>
      </c>
    </row>
    <row r="62" spans="1:18" x14ac:dyDescent="0.25">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v>942</v>
      </c>
      <c r="R62" t="s">
        <v>937</v>
      </c>
    </row>
    <row r="63" spans="1:18" x14ac:dyDescent="0.25">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v>4515</v>
      </c>
      <c r="R63" t="s">
        <v>940</v>
      </c>
    </row>
    <row r="64" spans="1:18" x14ac:dyDescent="0.25">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937</v>
      </c>
    </row>
    <row r="65" spans="1:18" x14ac:dyDescent="0.25">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938</v>
      </c>
    </row>
    <row r="66" spans="1:18" x14ac:dyDescent="0.25">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941</v>
      </c>
    </row>
    <row r="67" spans="1:18" x14ac:dyDescent="0.25">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v>6136</v>
      </c>
      <c r="R67" t="s">
        <v>937</v>
      </c>
    </row>
    <row r="68" spans="1:18" x14ac:dyDescent="0.25">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v>4515</v>
      </c>
      <c r="R68" t="s">
        <v>937</v>
      </c>
    </row>
    <row r="69" spans="1:18" x14ac:dyDescent="0.25">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940</v>
      </c>
    </row>
    <row r="70" spans="1:18" x14ac:dyDescent="0.25">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v>7670</v>
      </c>
      <c r="R70" t="s">
        <v>938</v>
      </c>
    </row>
    <row r="71" spans="1:18" x14ac:dyDescent="0.25">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939</v>
      </c>
    </row>
    <row r="72" spans="1:18" x14ac:dyDescent="0.25">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939</v>
      </c>
    </row>
    <row r="73" spans="1:18" x14ac:dyDescent="0.25">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v>4384</v>
      </c>
      <c r="R73" t="s">
        <v>941</v>
      </c>
    </row>
    <row r="74" spans="1:18" x14ac:dyDescent="0.25">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v>1194</v>
      </c>
      <c r="R74" t="s">
        <v>940</v>
      </c>
    </row>
    <row r="75" spans="1:18" x14ac:dyDescent="0.25">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v>6170</v>
      </c>
      <c r="R75" t="s">
        <v>940</v>
      </c>
    </row>
    <row r="76" spans="1:18" x14ac:dyDescent="0.25">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v>4476</v>
      </c>
      <c r="R76" t="s">
        <v>937</v>
      </c>
    </row>
    <row r="77" spans="1:18" x14ac:dyDescent="0.25">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v>2985</v>
      </c>
      <c r="R77" t="s">
        <v>939</v>
      </c>
    </row>
    <row r="78" spans="1:18" x14ac:dyDescent="0.25">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937</v>
      </c>
    </row>
    <row r="79" spans="1:18" x14ac:dyDescent="0.25">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v>1194</v>
      </c>
      <c r="R79" t="s">
        <v>942</v>
      </c>
    </row>
    <row r="80" spans="1:18" x14ac:dyDescent="0.25">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937</v>
      </c>
    </row>
    <row r="81" spans="1:18" x14ac:dyDescent="0.25">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v>903</v>
      </c>
      <c r="R81" t="s">
        <v>943</v>
      </c>
    </row>
    <row r="82" spans="1:18" x14ac:dyDescent="0.25">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v>7670</v>
      </c>
      <c r="R82" t="s">
        <v>942</v>
      </c>
    </row>
    <row r="83" spans="1:18" x14ac:dyDescent="0.25">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938</v>
      </c>
    </row>
    <row r="84" spans="1:18" x14ac:dyDescent="0.25">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v>2709</v>
      </c>
      <c r="R84" t="s">
        <v>937</v>
      </c>
    </row>
    <row r="85" spans="1:18" x14ac:dyDescent="0.25">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v>3702</v>
      </c>
      <c r="R85" t="s">
        <v>938</v>
      </c>
    </row>
    <row r="86" spans="1:18" x14ac:dyDescent="0.25">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v>7670</v>
      </c>
      <c r="R86" t="s">
        <v>939</v>
      </c>
    </row>
    <row r="87" spans="1:18" x14ac:dyDescent="0.25">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v>1323</v>
      </c>
      <c r="R87" t="s">
        <v>940</v>
      </c>
    </row>
    <row r="88" spans="1:18" x14ac:dyDescent="0.25">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v>1534</v>
      </c>
      <c r="R88" t="s">
        <v>941</v>
      </c>
    </row>
    <row r="89" spans="1:18" x14ac:dyDescent="0.25">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v>628</v>
      </c>
      <c r="R89" t="s">
        <v>939</v>
      </c>
    </row>
    <row r="90" spans="1:18" x14ac:dyDescent="0.25">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v>5968</v>
      </c>
      <c r="R90" t="s">
        <v>938</v>
      </c>
    </row>
    <row r="91" spans="1:18" x14ac:dyDescent="0.25">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v>7460</v>
      </c>
      <c r="R91" t="s">
        <v>940</v>
      </c>
    </row>
    <row r="92" spans="1:18" x14ac:dyDescent="0.25">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940</v>
      </c>
    </row>
    <row r="93" spans="1:18" x14ac:dyDescent="0.25">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v>3702</v>
      </c>
      <c r="R93" t="s">
        <v>943</v>
      </c>
    </row>
    <row r="94" spans="1:18" x14ac:dyDescent="0.25">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v>597</v>
      </c>
      <c r="R94" t="s">
        <v>937</v>
      </c>
    </row>
    <row r="95" spans="1:18" x14ac:dyDescent="0.25">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v>1096</v>
      </c>
      <c r="R95" t="s">
        <v>937</v>
      </c>
    </row>
    <row r="96" spans="1:18" x14ac:dyDescent="0.25">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v>1234</v>
      </c>
      <c r="R96" t="s">
        <v>940</v>
      </c>
    </row>
    <row r="97" spans="1:18" x14ac:dyDescent="0.25">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v>7670</v>
      </c>
      <c r="R97" t="s">
        <v>941</v>
      </c>
    </row>
    <row r="98" spans="1:18" x14ac:dyDescent="0.25">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v>597</v>
      </c>
      <c r="R98" t="s">
        <v>937</v>
      </c>
    </row>
    <row r="99" spans="1:18" x14ac:dyDescent="0.25">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v>628</v>
      </c>
      <c r="R99" t="s">
        <v>942</v>
      </c>
    </row>
    <row r="100" spans="1:18" x14ac:dyDescent="0.25">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v>2984</v>
      </c>
      <c r="R100" t="s">
        <v>938</v>
      </c>
    </row>
    <row r="101" spans="1:18" x14ac:dyDescent="0.25">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v>4384</v>
      </c>
      <c r="R101" t="s">
        <v>941</v>
      </c>
    </row>
    <row r="102" spans="1:18" x14ac:dyDescent="0.25">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v>236</v>
      </c>
      <c r="R102" t="s">
        <v>943</v>
      </c>
    </row>
    <row r="103" spans="1:18" x14ac:dyDescent="0.25">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v>1764</v>
      </c>
      <c r="R103" t="s">
        <v>940</v>
      </c>
    </row>
    <row r="104" spans="1:18" x14ac:dyDescent="0.25">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v>1492</v>
      </c>
      <c r="R104" t="s">
        <v>939</v>
      </c>
    </row>
    <row r="105" spans="1:18" x14ac:dyDescent="0.25">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v>2709</v>
      </c>
      <c r="R105" t="s">
        <v>941</v>
      </c>
    </row>
    <row r="106" spans="1:18" x14ac:dyDescent="0.25">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943</v>
      </c>
    </row>
    <row r="107" spans="1:18" x14ac:dyDescent="0.25">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v>628</v>
      </c>
      <c r="R107" t="s">
        <v>941</v>
      </c>
    </row>
    <row r="108" spans="1:18" x14ac:dyDescent="0.25">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v>2468</v>
      </c>
      <c r="R108" t="s">
        <v>940</v>
      </c>
    </row>
    <row r="109" spans="1:18" x14ac:dyDescent="0.25">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v>3612</v>
      </c>
      <c r="R109" t="s">
        <v>940</v>
      </c>
    </row>
    <row r="110" spans="1:18" x14ac:dyDescent="0.25">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v>2388</v>
      </c>
      <c r="R110" t="s">
        <v>940</v>
      </c>
    </row>
    <row r="111" spans="1:18" x14ac:dyDescent="0.25">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941</v>
      </c>
    </row>
    <row r="112" spans="1:18" x14ac:dyDescent="0.25">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v>1194</v>
      </c>
      <c r="R112" t="s">
        <v>941</v>
      </c>
    </row>
    <row r="113" spans="1:18" x14ac:dyDescent="0.25">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v>2468</v>
      </c>
      <c r="R113" t="s">
        <v>937</v>
      </c>
    </row>
    <row r="114" spans="1:18" x14ac:dyDescent="0.25">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941</v>
      </c>
    </row>
    <row r="115" spans="1:18" x14ac:dyDescent="0.25">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v>6870</v>
      </c>
      <c r="R115" t="s">
        <v>939</v>
      </c>
    </row>
    <row r="116" spans="1:18" x14ac:dyDescent="0.25">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v>1444</v>
      </c>
      <c r="R116" t="s">
        <v>938</v>
      </c>
    </row>
    <row r="117" spans="1:18" x14ac:dyDescent="0.25">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v>2045</v>
      </c>
      <c r="R117" t="s">
        <v>942</v>
      </c>
    </row>
    <row r="118" spans="1:18" x14ac:dyDescent="0.25">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v>2045</v>
      </c>
      <c r="R118" t="s">
        <v>940</v>
      </c>
    </row>
    <row r="119" spans="1:18" x14ac:dyDescent="0.25">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v>3816</v>
      </c>
      <c r="R119" t="s">
        <v>940</v>
      </c>
    </row>
    <row r="120" spans="1:18" x14ac:dyDescent="0.25">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v>2091</v>
      </c>
      <c r="R120" t="s">
        <v>939</v>
      </c>
    </row>
    <row r="121" spans="1:18" x14ac:dyDescent="0.25">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v>2091</v>
      </c>
      <c r="R121" t="s">
        <v>943</v>
      </c>
    </row>
    <row r="122" spans="1:18" x14ac:dyDescent="0.25">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943</v>
      </c>
    </row>
    <row r="123" spans="1:18" x14ac:dyDescent="0.25">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v>1865</v>
      </c>
      <c r="R123" t="s">
        <v>940</v>
      </c>
    </row>
    <row r="124" spans="1:18" x14ac:dyDescent="0.25">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v>9325</v>
      </c>
      <c r="R124" t="s">
        <v>940</v>
      </c>
    </row>
    <row r="125" spans="1:18" x14ac:dyDescent="0.25">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v>9325</v>
      </c>
      <c r="R125" t="s">
        <v>940</v>
      </c>
    </row>
    <row r="126" spans="1:18" x14ac:dyDescent="0.25">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v>9675</v>
      </c>
      <c r="R126" t="s">
        <v>938</v>
      </c>
    </row>
    <row r="127" spans="1:18" x14ac:dyDescent="0.25">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941</v>
      </c>
    </row>
    <row r="128" spans="1:18" x14ac:dyDescent="0.25">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v>2343</v>
      </c>
      <c r="R128" t="s">
        <v>938</v>
      </c>
    </row>
    <row r="129" spans="1:18" x14ac:dyDescent="0.25">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v>406</v>
      </c>
      <c r="R129" t="s">
        <v>937</v>
      </c>
    </row>
    <row r="130" spans="1:18" x14ac:dyDescent="0.25">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v>1156</v>
      </c>
      <c r="R130" t="s">
        <v>941</v>
      </c>
    </row>
    <row r="131" spans="1:18" x14ac:dyDescent="0.25">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v>2110</v>
      </c>
      <c r="R131" t="s">
        <v>941</v>
      </c>
    </row>
    <row r="132" spans="1:18" x14ac:dyDescent="0.25">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v>7692</v>
      </c>
      <c r="R132" t="s">
        <v>939</v>
      </c>
    </row>
    <row r="133" spans="1:18" x14ac:dyDescent="0.25">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v>1356</v>
      </c>
      <c r="R133" t="s">
        <v>941</v>
      </c>
    </row>
    <row r="134" spans="1:18" x14ac:dyDescent="0.25">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v>2748</v>
      </c>
      <c r="R134" t="s">
        <v>939</v>
      </c>
    </row>
    <row r="135" spans="1:18" x14ac:dyDescent="0.25">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v>7460</v>
      </c>
      <c r="R135" t="s">
        <v>942</v>
      </c>
    </row>
    <row r="136" spans="1:18" x14ac:dyDescent="0.25">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v>1220</v>
      </c>
      <c r="R136" t="s">
        <v>942</v>
      </c>
    </row>
    <row r="137" spans="1:18" x14ac:dyDescent="0.25">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v>2168</v>
      </c>
      <c r="R137" t="s">
        <v>941</v>
      </c>
    </row>
    <row r="138" spans="1:18" x14ac:dyDescent="0.25">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v>1620</v>
      </c>
      <c r="R138" t="s">
        <v>943</v>
      </c>
    </row>
    <row r="139" spans="1:18" x14ac:dyDescent="0.25">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v>5595</v>
      </c>
      <c r="R139" t="s">
        <v>940</v>
      </c>
    </row>
    <row r="140" spans="1:18" x14ac:dyDescent="0.25">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v>4944</v>
      </c>
      <c r="R140" t="s">
        <v>939</v>
      </c>
    </row>
    <row r="141" spans="1:18" x14ac:dyDescent="0.25">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v>4914</v>
      </c>
      <c r="R141" t="s">
        <v>942</v>
      </c>
    </row>
    <row r="142" spans="1:18" x14ac:dyDescent="0.25">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v>818</v>
      </c>
      <c r="R142" t="s">
        <v>942</v>
      </c>
    </row>
    <row r="143" spans="1:18" x14ac:dyDescent="0.25">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942</v>
      </c>
    </row>
    <row r="144" spans="1:18" x14ac:dyDescent="0.25">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v>5560</v>
      </c>
      <c r="R144" t="s">
        <v>940</v>
      </c>
    </row>
    <row r="145" spans="1:18" x14ac:dyDescent="0.25">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v>2544</v>
      </c>
      <c r="R145" t="s">
        <v>940</v>
      </c>
    </row>
    <row r="146" spans="1:18" x14ac:dyDescent="0.25">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v>4990</v>
      </c>
      <c r="R146" t="s">
        <v>942</v>
      </c>
    </row>
    <row r="147" spans="1:18" x14ac:dyDescent="0.25">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942</v>
      </c>
    </row>
    <row r="148" spans="1:18" x14ac:dyDescent="0.25">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v>1996</v>
      </c>
      <c r="R148" t="s">
        <v>940</v>
      </c>
    </row>
    <row r="149" spans="1:18" x14ac:dyDescent="0.25">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v>2045</v>
      </c>
      <c r="R149" t="s">
        <v>940</v>
      </c>
    </row>
    <row r="150" spans="1:18" x14ac:dyDescent="0.25">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942</v>
      </c>
    </row>
    <row r="151" spans="1:18" x14ac:dyDescent="0.25">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v>3336</v>
      </c>
      <c r="R151" t="s">
        <v>941</v>
      </c>
    </row>
    <row r="152" spans="1:18" x14ac:dyDescent="0.25">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v>2196</v>
      </c>
      <c r="R152" t="s">
        <v>943</v>
      </c>
    </row>
    <row r="153" spans="1:18" x14ac:dyDescent="0.25">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v>3830</v>
      </c>
      <c r="R153" t="s">
        <v>943</v>
      </c>
    </row>
    <row r="154" spans="1:18" x14ac:dyDescent="0.25">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v>8195</v>
      </c>
      <c r="R154" t="s">
        <v>943</v>
      </c>
    </row>
    <row r="155" spans="1:18" x14ac:dyDescent="0.25">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v>5705</v>
      </c>
      <c r="R155" t="s">
        <v>940</v>
      </c>
    </row>
    <row r="156" spans="1:18" x14ac:dyDescent="0.25">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v>3276</v>
      </c>
      <c r="R156" t="s">
        <v>942</v>
      </c>
    </row>
    <row r="157" spans="1:18" x14ac:dyDescent="0.25">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v>758</v>
      </c>
      <c r="R157" t="s">
        <v>937</v>
      </c>
    </row>
    <row r="158" spans="1:18" x14ac:dyDescent="0.25">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v>2994</v>
      </c>
      <c r="R158" t="s">
        <v>940</v>
      </c>
    </row>
    <row r="159" spans="1:18" x14ac:dyDescent="0.25">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v>1688</v>
      </c>
      <c r="R159" t="s">
        <v>940</v>
      </c>
    </row>
    <row r="160" spans="1:18" x14ac:dyDescent="0.25">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v>1636</v>
      </c>
      <c r="R160" t="s">
        <v>942</v>
      </c>
    </row>
    <row r="161" spans="1:18" x14ac:dyDescent="0.25">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v>3336</v>
      </c>
      <c r="R161" t="s">
        <v>941</v>
      </c>
    </row>
    <row r="162" spans="1:18" x14ac:dyDescent="0.25">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v>2045</v>
      </c>
      <c r="R162" t="s">
        <v>940</v>
      </c>
    </row>
    <row r="163" spans="1:18" x14ac:dyDescent="0.25">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v>578</v>
      </c>
      <c r="R163" t="s">
        <v>940</v>
      </c>
    </row>
    <row r="164" spans="1:18" x14ac:dyDescent="0.25">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v>6552</v>
      </c>
      <c r="R164" t="s">
        <v>941</v>
      </c>
    </row>
    <row r="165" spans="1:18" x14ac:dyDescent="0.25">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v>8190</v>
      </c>
      <c r="R165" t="s">
        <v>942</v>
      </c>
    </row>
    <row r="166" spans="1:18" x14ac:dyDescent="0.25">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v>7740</v>
      </c>
      <c r="R166" t="s">
        <v>942</v>
      </c>
    </row>
    <row r="167" spans="1:18" x14ac:dyDescent="0.25">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v>1636</v>
      </c>
      <c r="R167" t="s">
        <v>942</v>
      </c>
    </row>
    <row r="168" spans="1:18" x14ac:dyDescent="0.25">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v>998</v>
      </c>
      <c r="R168" t="s">
        <v>940</v>
      </c>
    </row>
    <row r="169" spans="1:18" x14ac:dyDescent="0.25">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v>3276</v>
      </c>
      <c r="R169" t="s">
        <v>941</v>
      </c>
    </row>
    <row r="170" spans="1:18" x14ac:dyDescent="0.25">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v>1266</v>
      </c>
      <c r="R170" t="s">
        <v>941</v>
      </c>
    </row>
    <row r="171" spans="1:18" x14ac:dyDescent="0.25">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v>4336</v>
      </c>
      <c r="R171" t="s">
        <v>940</v>
      </c>
    </row>
    <row r="172" spans="1:18" x14ac:dyDescent="0.25">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v>3606</v>
      </c>
      <c r="R172" t="s">
        <v>943</v>
      </c>
    </row>
    <row r="173" spans="1:18" x14ac:dyDescent="0.25">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v>2404</v>
      </c>
      <c r="R173" t="s">
        <v>942</v>
      </c>
    </row>
    <row r="174" spans="1:18" x14ac:dyDescent="0.25">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v>6260</v>
      </c>
      <c r="R174" t="s">
        <v>941</v>
      </c>
    </row>
    <row r="175" spans="1:18" x14ac:dyDescent="0.25">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v>5008</v>
      </c>
      <c r="R175" t="s">
        <v>942</v>
      </c>
    </row>
    <row r="176" spans="1:18" x14ac:dyDescent="0.25">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v>2994</v>
      </c>
      <c r="R176" t="s">
        <v>942</v>
      </c>
    </row>
    <row r="177" spans="1:18" x14ac:dyDescent="0.25">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v>1112</v>
      </c>
      <c r="R177" t="s">
        <v>942</v>
      </c>
    </row>
    <row r="178" spans="1:18" x14ac:dyDescent="0.25">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v>1639</v>
      </c>
      <c r="R178" t="s">
        <v>940</v>
      </c>
    </row>
    <row r="179" spans="1:18" x14ac:dyDescent="0.25">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v>6740</v>
      </c>
      <c r="R179" t="s">
        <v>943</v>
      </c>
    </row>
    <row r="180" spans="1:18" x14ac:dyDescent="0.25">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v>4336</v>
      </c>
      <c r="R180" t="s">
        <v>940</v>
      </c>
    </row>
    <row r="181" spans="1:18" x14ac:dyDescent="0.25">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v>4122</v>
      </c>
      <c r="R181" t="s">
        <v>942</v>
      </c>
    </row>
    <row r="182" spans="1:18" x14ac:dyDescent="0.25">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v>3730</v>
      </c>
      <c r="R182" t="s">
        <v>940</v>
      </c>
    </row>
    <row r="183" spans="1:18" x14ac:dyDescent="0.25">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v>1266</v>
      </c>
      <c r="R183" t="s">
        <v>941</v>
      </c>
    </row>
    <row r="184" spans="1:18" x14ac:dyDescent="0.25">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v>5376</v>
      </c>
      <c r="R184" t="s">
        <v>943</v>
      </c>
    </row>
    <row r="185" spans="1:18" x14ac:dyDescent="0.25">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v>2091</v>
      </c>
      <c r="R185" t="s">
        <v>943</v>
      </c>
    </row>
    <row r="186" spans="1:18" x14ac:dyDescent="0.25">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v>4564</v>
      </c>
      <c r="R186" t="s">
        <v>942</v>
      </c>
    </row>
    <row r="187" spans="1:18" x14ac:dyDescent="0.25">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v>3032</v>
      </c>
      <c r="R187" t="s">
        <v>937</v>
      </c>
    </row>
    <row r="188" spans="1:18" x14ac:dyDescent="0.25">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v>2110</v>
      </c>
      <c r="R188" t="s">
        <v>940</v>
      </c>
    </row>
    <row r="189" spans="1:18" x14ac:dyDescent="0.25">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v>3464</v>
      </c>
      <c r="R189" t="s">
        <v>939</v>
      </c>
    </row>
    <row r="190" spans="1:18" x14ac:dyDescent="0.25">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v>5745</v>
      </c>
      <c r="R190" t="s">
        <v>937</v>
      </c>
    </row>
    <row r="191" spans="1:18" x14ac:dyDescent="0.25">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v>1899</v>
      </c>
      <c r="R191" t="s">
        <v>943</v>
      </c>
    </row>
    <row r="192" spans="1:18" x14ac:dyDescent="0.25">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v>1272</v>
      </c>
      <c r="R192" t="s">
        <v>943</v>
      </c>
    </row>
    <row r="193" spans="1:18" x14ac:dyDescent="0.25">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v>5560</v>
      </c>
      <c r="R193" t="s">
        <v>941</v>
      </c>
    </row>
    <row r="194" spans="1:18" x14ac:dyDescent="0.25">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v>422</v>
      </c>
      <c r="R194" t="s">
        <v>940</v>
      </c>
    </row>
    <row r="195" spans="1:18" x14ac:dyDescent="0.25">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v>722</v>
      </c>
      <c r="R195" t="s">
        <v>940</v>
      </c>
    </row>
    <row r="196" spans="1:18" x14ac:dyDescent="0.25">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v>2598</v>
      </c>
      <c r="R196" t="s">
        <v>939</v>
      </c>
    </row>
    <row r="197" spans="1:18" x14ac:dyDescent="0.25">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v>8190</v>
      </c>
      <c r="R197" t="s">
        <v>940</v>
      </c>
    </row>
    <row r="198" spans="1:18" x14ac:dyDescent="0.25">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v>578</v>
      </c>
      <c r="R198" t="s">
        <v>942</v>
      </c>
    </row>
    <row r="199" spans="1:18" x14ac:dyDescent="0.25">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v>2504</v>
      </c>
      <c r="R199" t="s">
        <v>942</v>
      </c>
    </row>
    <row r="200" spans="1:18" x14ac:dyDescent="0.25">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v>5595</v>
      </c>
      <c r="R200" t="s">
        <v>942</v>
      </c>
    </row>
    <row r="201" spans="1:18" x14ac:dyDescent="0.25">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v>7168</v>
      </c>
      <c r="R201" t="s">
        <v>941</v>
      </c>
    </row>
    <row r="202" spans="1:18" x14ac:dyDescent="0.25">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v>7580</v>
      </c>
      <c r="R202" t="s">
        <v>938</v>
      </c>
    </row>
    <row r="203" spans="1:18" x14ac:dyDescent="0.25">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941</v>
      </c>
    </row>
    <row r="204" spans="1:18" x14ac:dyDescent="0.25">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v>1348</v>
      </c>
      <c r="R204" t="s">
        <v>943</v>
      </c>
    </row>
    <row r="205" spans="1:18" x14ac:dyDescent="0.25">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v>1792</v>
      </c>
      <c r="R205" t="s">
        <v>943</v>
      </c>
    </row>
    <row r="206" spans="1:18" x14ac:dyDescent="0.25">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v>9325</v>
      </c>
      <c r="R206" t="s">
        <v>942</v>
      </c>
    </row>
    <row r="207" spans="1:18" x14ac:dyDescent="0.25">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v>1636</v>
      </c>
      <c r="R207" t="s">
        <v>941</v>
      </c>
    </row>
    <row r="208" spans="1:18" x14ac:dyDescent="0.25">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v>6556</v>
      </c>
      <c r="R208" t="s">
        <v>940</v>
      </c>
    </row>
    <row r="209" spans="1:18" x14ac:dyDescent="0.25">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v>4448</v>
      </c>
      <c r="R209" t="s">
        <v>941</v>
      </c>
    </row>
    <row r="210" spans="1:18" x14ac:dyDescent="0.25">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v>9675</v>
      </c>
      <c r="R210" t="s">
        <v>938</v>
      </c>
    </row>
    <row r="211" spans="1:18" x14ac:dyDescent="0.25">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v>1830</v>
      </c>
      <c r="R211" t="s">
        <v>940</v>
      </c>
    </row>
    <row r="212" spans="1:18" x14ac:dyDescent="0.25">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v>5008</v>
      </c>
      <c r="R212" t="s">
        <v>942</v>
      </c>
    </row>
    <row r="213" spans="1:18" x14ac:dyDescent="0.25">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v>6552</v>
      </c>
      <c r="R213" t="s">
        <v>942</v>
      </c>
    </row>
    <row r="214" spans="1:18" x14ac:dyDescent="0.25">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v>1015</v>
      </c>
      <c r="R214" t="s">
        <v>943</v>
      </c>
    </row>
    <row r="215" spans="1:18" x14ac:dyDescent="0.25">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v>259</v>
      </c>
      <c r="R215" t="s">
        <v>938</v>
      </c>
    </row>
    <row r="216" spans="1:18" x14ac:dyDescent="0.25">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v>3606</v>
      </c>
      <c r="R216" t="s">
        <v>942</v>
      </c>
    </row>
    <row r="217" spans="1:18" x14ac:dyDescent="0.25">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v>3608</v>
      </c>
      <c r="R217" t="s">
        <v>940</v>
      </c>
    </row>
    <row r="218" spans="1:18" x14ac:dyDescent="0.25">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v>2016</v>
      </c>
      <c r="R218" t="s">
        <v>941</v>
      </c>
    </row>
    <row r="219" spans="1:18" x14ac:dyDescent="0.25">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v>6328</v>
      </c>
      <c r="R219" t="s">
        <v>937</v>
      </c>
    </row>
    <row r="220" spans="1:18" x14ac:dyDescent="0.25">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v>1008</v>
      </c>
      <c r="R220" t="s">
        <v>939</v>
      </c>
    </row>
    <row r="221" spans="1:18" x14ac:dyDescent="0.25">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v>3584</v>
      </c>
      <c r="R221" t="s">
        <v>942</v>
      </c>
    </row>
    <row r="222" spans="1:18" x14ac:dyDescent="0.25">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v>3798</v>
      </c>
      <c r="R222" t="s">
        <v>939</v>
      </c>
    </row>
    <row r="223" spans="1:18" x14ac:dyDescent="0.25">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v>1444</v>
      </c>
      <c r="R223" t="s">
        <v>938</v>
      </c>
    </row>
    <row r="224" spans="1:18" x14ac:dyDescent="0.25">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v>203</v>
      </c>
      <c r="R224" t="s">
        <v>939</v>
      </c>
    </row>
    <row r="225" spans="1:18" x14ac:dyDescent="0.25">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v>1744</v>
      </c>
      <c r="R225" t="s">
        <v>939</v>
      </c>
    </row>
    <row r="226" spans="1:18" x14ac:dyDescent="0.25">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v>7220</v>
      </c>
      <c r="R226" t="s">
        <v>937</v>
      </c>
    </row>
    <row r="227" spans="1:18" x14ac:dyDescent="0.25">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v>5685</v>
      </c>
      <c r="R227" t="s">
        <v>941</v>
      </c>
    </row>
    <row r="228" spans="1:18" x14ac:dyDescent="0.25">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v>6328</v>
      </c>
      <c r="R228" t="s">
        <v>940</v>
      </c>
    </row>
    <row r="229" spans="1:18" x14ac:dyDescent="0.25">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v>4122</v>
      </c>
      <c r="R229" t="s">
        <v>940</v>
      </c>
    </row>
    <row r="230" spans="1:18" x14ac:dyDescent="0.25">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v>1582</v>
      </c>
      <c r="R230" t="s">
        <v>943</v>
      </c>
    </row>
    <row r="231" spans="1:18" x14ac:dyDescent="0.25">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v>3360</v>
      </c>
      <c r="R231" t="s">
        <v>938</v>
      </c>
    </row>
    <row r="232" spans="1:18" x14ac:dyDescent="0.25">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v>3608</v>
      </c>
      <c r="R232" t="s">
        <v>939</v>
      </c>
    </row>
    <row r="233" spans="1:18" x14ac:dyDescent="0.25">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v>2810</v>
      </c>
      <c r="R233" t="s">
        <v>943</v>
      </c>
    </row>
    <row r="234" spans="1:18" x14ac:dyDescent="0.25">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v>1295</v>
      </c>
      <c r="R234" t="s">
        <v>938</v>
      </c>
    </row>
    <row r="235" spans="1:18" x14ac:dyDescent="0.25">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v>3608</v>
      </c>
      <c r="R235" t="s">
        <v>940</v>
      </c>
    </row>
    <row r="236" spans="1:18" x14ac:dyDescent="0.25">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938</v>
      </c>
    </row>
    <row r="237" spans="1:18" x14ac:dyDescent="0.25">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v>4917</v>
      </c>
      <c r="R237" t="s">
        <v>942</v>
      </c>
    </row>
    <row r="238" spans="1:18" x14ac:dyDescent="0.25">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v>7740</v>
      </c>
      <c r="R238" t="s">
        <v>941</v>
      </c>
    </row>
    <row r="239" spans="1:18" x14ac:dyDescent="0.25">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v>7740</v>
      </c>
      <c r="R239" t="s">
        <v>942</v>
      </c>
    </row>
    <row r="240" spans="1:18" x14ac:dyDescent="0.25">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v>3252</v>
      </c>
      <c r="R240" t="s">
        <v>940</v>
      </c>
    </row>
    <row r="241" spans="1:18" x14ac:dyDescent="0.25">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v>1260</v>
      </c>
      <c r="R241" t="s">
        <v>938</v>
      </c>
    </row>
    <row r="242" spans="1:18" x14ac:dyDescent="0.25">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v>4392</v>
      </c>
      <c r="R242" t="s">
        <v>940</v>
      </c>
    </row>
    <row r="243" spans="1:18" x14ac:dyDescent="0.25">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v>2166</v>
      </c>
      <c r="R243" t="s">
        <v>943</v>
      </c>
    </row>
    <row r="244" spans="1:18" x14ac:dyDescent="0.25">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v>1008</v>
      </c>
      <c r="R244" t="s">
        <v>943</v>
      </c>
    </row>
    <row r="245" spans="1:18" x14ac:dyDescent="0.25">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v>1582</v>
      </c>
      <c r="R245" t="s">
        <v>940</v>
      </c>
    </row>
    <row r="246" spans="1:18" x14ac:dyDescent="0.25">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v>3790</v>
      </c>
      <c r="R246" t="s">
        <v>943</v>
      </c>
    </row>
    <row r="247" spans="1:18" x14ac:dyDescent="0.25">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v>777</v>
      </c>
      <c r="R247" t="s">
        <v>937</v>
      </c>
    </row>
    <row r="248" spans="1:18" x14ac:dyDescent="0.25">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v>2888</v>
      </c>
      <c r="R248" t="s">
        <v>943</v>
      </c>
    </row>
    <row r="249" spans="1:18" x14ac:dyDescent="0.25">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v>4044</v>
      </c>
      <c r="R249" t="s">
        <v>942</v>
      </c>
    </row>
    <row r="250" spans="1:18" x14ac:dyDescent="0.25">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v>722</v>
      </c>
      <c r="R250" t="s">
        <v>942</v>
      </c>
    </row>
    <row r="251" spans="1:18" x14ac:dyDescent="0.25">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v>8960</v>
      </c>
      <c r="R251" t="s">
        <v>938</v>
      </c>
    </row>
    <row r="252" spans="1:18" x14ac:dyDescent="0.25">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v>1899</v>
      </c>
      <c r="R252" t="s">
        <v>937</v>
      </c>
    </row>
    <row r="253" spans="1:18" x14ac:dyDescent="0.25">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942</v>
      </c>
    </row>
    <row r="254" spans="1:18" x14ac:dyDescent="0.25">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v>1098</v>
      </c>
      <c r="R254" t="s">
        <v>940</v>
      </c>
    </row>
    <row r="255" spans="1:18" x14ac:dyDescent="0.25">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v>2168</v>
      </c>
      <c r="R255" t="s">
        <v>937</v>
      </c>
    </row>
    <row r="256" spans="1:18" x14ac:dyDescent="0.25">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v>866</v>
      </c>
      <c r="R256" t="s">
        <v>937</v>
      </c>
    </row>
    <row r="257" spans="1:18" x14ac:dyDescent="0.25">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v>3336</v>
      </c>
      <c r="R257" t="s">
        <v>941</v>
      </c>
    </row>
    <row r="258" spans="1:18" x14ac:dyDescent="0.25">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v>4448</v>
      </c>
      <c r="R258" t="s">
        <v>943</v>
      </c>
    </row>
    <row r="259" spans="1:18" x14ac:dyDescent="0.25">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937</v>
      </c>
    </row>
    <row r="260" spans="1:18" x14ac:dyDescent="0.25">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v>2045</v>
      </c>
      <c r="R260" t="s">
        <v>943</v>
      </c>
    </row>
    <row r="261" spans="1:18" x14ac:dyDescent="0.25">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v>6884</v>
      </c>
      <c r="R261" t="s">
        <v>943</v>
      </c>
    </row>
    <row r="262" spans="1:18" x14ac:dyDescent="0.25">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v>5424</v>
      </c>
      <c r="R262" t="s">
        <v>942</v>
      </c>
    </row>
    <row r="263" spans="1:18" x14ac:dyDescent="0.25">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v>610</v>
      </c>
      <c r="R263" t="s">
        <v>937</v>
      </c>
    </row>
    <row r="264" spans="1:18" x14ac:dyDescent="0.25">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v>867</v>
      </c>
      <c r="R264" t="s">
        <v>939</v>
      </c>
    </row>
    <row r="265" spans="1:18" x14ac:dyDescent="0.25">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v>289</v>
      </c>
      <c r="R265" t="s">
        <v>939</v>
      </c>
    </row>
    <row r="266" spans="1:18" x14ac:dyDescent="0.25">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v>1638</v>
      </c>
      <c r="R266" t="s">
        <v>937</v>
      </c>
    </row>
    <row r="267" spans="1:18" x14ac:dyDescent="0.25">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v>578</v>
      </c>
      <c r="R267" t="s">
        <v>937</v>
      </c>
    </row>
    <row r="268" spans="1:18" x14ac:dyDescent="0.25">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v>4990</v>
      </c>
      <c r="R268" t="s">
        <v>943</v>
      </c>
    </row>
    <row r="269" spans="1:18" x14ac:dyDescent="0.25">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v>578</v>
      </c>
      <c r="R269" t="s">
        <v>937</v>
      </c>
    </row>
    <row r="270" spans="1:18" x14ac:dyDescent="0.25">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v>4448</v>
      </c>
      <c r="R270" t="s">
        <v>937</v>
      </c>
    </row>
    <row r="271" spans="1:18" x14ac:dyDescent="0.25">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v>4990</v>
      </c>
      <c r="R271" t="s">
        <v>940</v>
      </c>
    </row>
    <row r="272" spans="1:18" x14ac:dyDescent="0.25">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v>3276</v>
      </c>
      <c r="R272" t="s">
        <v>940</v>
      </c>
    </row>
    <row r="273" spans="1:18" x14ac:dyDescent="0.25">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v>1638</v>
      </c>
      <c r="R273" t="s">
        <v>937</v>
      </c>
    </row>
    <row r="274" spans="1:18" x14ac:dyDescent="0.25">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v>6884</v>
      </c>
      <c r="R274" t="s">
        <v>937</v>
      </c>
    </row>
    <row r="275" spans="1:18" x14ac:dyDescent="0.25">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v>3730</v>
      </c>
      <c r="R275" t="s">
        <v>939</v>
      </c>
    </row>
    <row r="276" spans="1:18" x14ac:dyDescent="0.25">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v>3730</v>
      </c>
      <c r="R276" t="s">
        <v>937</v>
      </c>
    </row>
    <row r="277" spans="1:18" x14ac:dyDescent="0.25">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v>5424</v>
      </c>
      <c r="R277" t="s">
        <v>939</v>
      </c>
    </row>
    <row r="278" spans="1:18" x14ac:dyDescent="0.25">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v>5424</v>
      </c>
      <c r="R278" t="s">
        <v>940</v>
      </c>
    </row>
    <row r="279" spans="1:18" x14ac:dyDescent="0.25">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v>2224</v>
      </c>
      <c r="R279" t="s">
        <v>940</v>
      </c>
    </row>
    <row r="280" spans="1:18" x14ac:dyDescent="0.25">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v>3423</v>
      </c>
      <c r="R280" t="s">
        <v>938</v>
      </c>
    </row>
    <row r="281" spans="1:18" x14ac:dyDescent="0.25">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v>8605</v>
      </c>
      <c r="R281" t="s">
        <v>940</v>
      </c>
    </row>
    <row r="282" spans="1:18" x14ac:dyDescent="0.25">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v>867</v>
      </c>
      <c r="R282" t="s">
        <v>941</v>
      </c>
    </row>
    <row r="283" spans="1:18" x14ac:dyDescent="0.25">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v>1156</v>
      </c>
      <c r="R283" t="s">
        <v>940</v>
      </c>
    </row>
    <row r="284" spans="1:18" x14ac:dyDescent="0.25">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v>1266</v>
      </c>
      <c r="R284" t="s">
        <v>940</v>
      </c>
    </row>
    <row r="285" spans="1:18" x14ac:dyDescent="0.25">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v>1356</v>
      </c>
      <c r="R285" t="s">
        <v>940</v>
      </c>
    </row>
    <row r="286" spans="1:18" x14ac:dyDescent="0.25">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v>4990</v>
      </c>
      <c r="R286" t="s">
        <v>941</v>
      </c>
    </row>
    <row r="287" spans="1:18" x14ac:dyDescent="0.25">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v>5595</v>
      </c>
      <c r="R287" t="s">
        <v>937</v>
      </c>
    </row>
    <row r="288" spans="1:18" x14ac:dyDescent="0.25">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v>1252</v>
      </c>
      <c r="R288" t="s">
        <v>943</v>
      </c>
    </row>
    <row r="289" spans="1:18" x14ac:dyDescent="0.25">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v>1266</v>
      </c>
      <c r="R289" t="s">
        <v>941</v>
      </c>
    </row>
    <row r="290" spans="1:18" x14ac:dyDescent="0.25">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v>2045</v>
      </c>
      <c r="R290" t="s">
        <v>939</v>
      </c>
    </row>
    <row r="291" spans="1:18" x14ac:dyDescent="0.25">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v>2994</v>
      </c>
      <c r="R291" t="s">
        <v>941</v>
      </c>
    </row>
    <row r="292" spans="1:18" x14ac:dyDescent="0.25">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v>1445</v>
      </c>
      <c r="R292" t="s">
        <v>938</v>
      </c>
    </row>
    <row r="293" spans="1:18" x14ac:dyDescent="0.25">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v>289</v>
      </c>
      <c r="R293" t="s">
        <v>943</v>
      </c>
    </row>
    <row r="294" spans="1:18" x14ac:dyDescent="0.25">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v>1445</v>
      </c>
      <c r="R294" t="s">
        <v>941</v>
      </c>
    </row>
    <row r="295" spans="1:18" x14ac:dyDescent="0.25">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v>3756</v>
      </c>
      <c r="R295" t="s">
        <v>942</v>
      </c>
    </row>
    <row r="296" spans="1:18" x14ac:dyDescent="0.25">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v>1445</v>
      </c>
      <c r="R296" t="s">
        <v>942</v>
      </c>
    </row>
    <row r="297" spans="1:18" x14ac:dyDescent="0.25">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v>1141</v>
      </c>
      <c r="R297" t="s">
        <v>938</v>
      </c>
    </row>
    <row r="298" spans="1:18" x14ac:dyDescent="0.25">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v>1830</v>
      </c>
      <c r="R298" t="s">
        <v>941</v>
      </c>
    </row>
    <row r="299" spans="1:18" x14ac:dyDescent="0.25">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v>422</v>
      </c>
      <c r="R299" t="s">
        <v>937</v>
      </c>
    </row>
    <row r="300" spans="1:18" x14ac:dyDescent="0.25">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939</v>
      </c>
    </row>
    <row r="301" spans="1:18" x14ac:dyDescent="0.25">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v>6552</v>
      </c>
      <c r="R301" t="s">
        <v>939</v>
      </c>
    </row>
    <row r="302" spans="1:18" x14ac:dyDescent="0.25">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v>8190</v>
      </c>
      <c r="R302" t="s">
        <v>939</v>
      </c>
    </row>
    <row r="303" spans="1:18" x14ac:dyDescent="0.25">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v>3336</v>
      </c>
      <c r="R303" t="s">
        <v>937</v>
      </c>
    </row>
    <row r="304" spans="1:18" x14ac:dyDescent="0.25">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v>2224</v>
      </c>
      <c r="R304" t="s">
        <v>938</v>
      </c>
    </row>
    <row r="305" spans="1:18" x14ac:dyDescent="0.25">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v>610</v>
      </c>
      <c r="R305" t="s">
        <v>939</v>
      </c>
    </row>
    <row r="306" spans="1:18" x14ac:dyDescent="0.25">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v>1688</v>
      </c>
      <c r="R306" t="s">
        <v>939</v>
      </c>
    </row>
    <row r="307" spans="1:18" x14ac:dyDescent="0.25">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v>2504</v>
      </c>
      <c r="R307" t="s">
        <v>941</v>
      </c>
    </row>
    <row r="308" spans="1:18" x14ac:dyDescent="0.25">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v>1156</v>
      </c>
      <c r="R308" t="s">
        <v>939</v>
      </c>
    </row>
    <row r="309" spans="1:18" x14ac:dyDescent="0.25">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v>578</v>
      </c>
      <c r="R309" t="s">
        <v>939</v>
      </c>
    </row>
    <row r="310" spans="1:18" x14ac:dyDescent="0.25">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v>1252</v>
      </c>
      <c r="R310" t="s">
        <v>940</v>
      </c>
    </row>
    <row r="311" spans="1:18" x14ac:dyDescent="0.25">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v>5424</v>
      </c>
      <c r="R311" t="s">
        <v>942</v>
      </c>
    </row>
    <row r="312" spans="1:18" x14ac:dyDescent="0.25">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v>4914</v>
      </c>
      <c r="R312" t="s">
        <v>940</v>
      </c>
    </row>
    <row r="313" spans="1:18" x14ac:dyDescent="0.25">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v>1636</v>
      </c>
      <c r="R313" t="s">
        <v>938</v>
      </c>
    </row>
    <row r="314" spans="1:18" x14ac:dyDescent="0.25">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v>4564</v>
      </c>
      <c r="R314" t="s">
        <v>942</v>
      </c>
    </row>
    <row r="315" spans="1:18" x14ac:dyDescent="0.25">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v>1721</v>
      </c>
      <c r="R315" t="s">
        <v>943</v>
      </c>
    </row>
    <row r="316" spans="1:18" x14ac:dyDescent="0.25">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v>2504</v>
      </c>
      <c r="R316" t="s">
        <v>937</v>
      </c>
    </row>
    <row r="317" spans="1:18" x14ac:dyDescent="0.25">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v>5424</v>
      </c>
      <c r="R317" t="s">
        <v>941</v>
      </c>
    </row>
    <row r="318" spans="1:18" x14ac:dyDescent="0.25">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v>4564</v>
      </c>
      <c r="R318" t="s">
        <v>942</v>
      </c>
    </row>
    <row r="319" spans="1:18" x14ac:dyDescent="0.25">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v>5705</v>
      </c>
      <c r="R319" t="s">
        <v>940</v>
      </c>
    </row>
    <row r="320" spans="1:18" x14ac:dyDescent="0.25">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v>3442</v>
      </c>
      <c r="R320" t="s">
        <v>943</v>
      </c>
    </row>
    <row r="321" spans="1:18" x14ac:dyDescent="0.25">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v>5705</v>
      </c>
      <c r="R321" t="s">
        <v>943</v>
      </c>
    </row>
    <row r="322" spans="1:18" x14ac:dyDescent="0.25">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v>2504</v>
      </c>
      <c r="R322" t="s">
        <v>938</v>
      </c>
    </row>
    <row r="323" spans="1:18" x14ac:dyDescent="0.25">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v>4914</v>
      </c>
      <c r="R323" t="s">
        <v>938</v>
      </c>
    </row>
    <row r="324" spans="1:18" x14ac:dyDescent="0.25">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v>1266</v>
      </c>
      <c r="R324" t="s">
        <v>941</v>
      </c>
    </row>
    <row r="325" spans="1:18" x14ac:dyDescent="0.25">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v>610</v>
      </c>
      <c r="R325" t="s">
        <v>941</v>
      </c>
    </row>
    <row r="326" spans="1:18" x14ac:dyDescent="0.25">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v>3756</v>
      </c>
      <c r="R326" t="s">
        <v>943</v>
      </c>
    </row>
    <row r="327" spans="1:18" x14ac:dyDescent="0.25">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v>2504</v>
      </c>
      <c r="R327" t="s">
        <v>942</v>
      </c>
    </row>
    <row r="328" spans="1:18" x14ac:dyDescent="0.25">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v>8190</v>
      </c>
      <c r="R328" t="s">
        <v>942</v>
      </c>
    </row>
    <row r="329" spans="1:18" x14ac:dyDescent="0.25">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v>422</v>
      </c>
      <c r="R329" t="s">
        <v>940</v>
      </c>
    </row>
    <row r="330" spans="1:18" x14ac:dyDescent="0.25">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v>1721</v>
      </c>
      <c r="R330" t="s">
        <v>938</v>
      </c>
    </row>
    <row r="331" spans="1:18" x14ac:dyDescent="0.25">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v>6552</v>
      </c>
      <c r="R331" t="s">
        <v>942</v>
      </c>
    </row>
    <row r="332" spans="1:18" x14ac:dyDescent="0.25">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v>1266</v>
      </c>
      <c r="R332" t="s">
        <v>939</v>
      </c>
    </row>
    <row r="333" spans="1:18" x14ac:dyDescent="0.25">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v>289</v>
      </c>
      <c r="R333" t="s">
        <v>943</v>
      </c>
    </row>
    <row r="334" spans="1:18" x14ac:dyDescent="0.25">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v>289</v>
      </c>
      <c r="R334" t="s">
        <v>939</v>
      </c>
    </row>
    <row r="335" spans="1:18" x14ac:dyDescent="0.25">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v>1865</v>
      </c>
      <c r="R335" t="s">
        <v>941</v>
      </c>
    </row>
    <row r="336" spans="1:18" x14ac:dyDescent="0.25">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v>3423</v>
      </c>
      <c r="R336" t="s">
        <v>939</v>
      </c>
    </row>
    <row r="337" spans="1:18" x14ac:dyDescent="0.25">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v>6780</v>
      </c>
      <c r="R337" t="s">
        <v>940</v>
      </c>
    </row>
    <row r="338" spans="1:18" x14ac:dyDescent="0.25">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v>1445</v>
      </c>
      <c r="R338" t="s">
        <v>943</v>
      </c>
    </row>
    <row r="339" spans="1:18" x14ac:dyDescent="0.25">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v>422</v>
      </c>
      <c r="R339" t="s">
        <v>938</v>
      </c>
    </row>
    <row r="340" spans="1:18" x14ac:dyDescent="0.25">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v>2440</v>
      </c>
      <c r="R340" t="s">
        <v>943</v>
      </c>
    </row>
    <row r="341" spans="1:18" x14ac:dyDescent="0.25">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v>3423</v>
      </c>
      <c r="R341" t="s">
        <v>942</v>
      </c>
    </row>
    <row r="342" spans="1:18" x14ac:dyDescent="0.25">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v>610</v>
      </c>
      <c r="R342" t="s">
        <v>939</v>
      </c>
    </row>
    <row r="343" spans="1:18" x14ac:dyDescent="0.25">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v>1112</v>
      </c>
      <c r="R343" t="s">
        <v>937</v>
      </c>
    </row>
    <row r="344" spans="1:18" x14ac:dyDescent="0.25">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v>409</v>
      </c>
      <c r="R344" t="s">
        <v>940</v>
      </c>
    </row>
    <row r="345" spans="1:18" x14ac:dyDescent="0.25">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v>4068</v>
      </c>
      <c r="R345" t="s">
        <v>939</v>
      </c>
    </row>
    <row r="346" spans="1:18" x14ac:dyDescent="0.25">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v>5705</v>
      </c>
      <c r="R346" t="s">
        <v>943</v>
      </c>
    </row>
    <row r="347" spans="1:18" x14ac:dyDescent="0.25">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v>5595</v>
      </c>
      <c r="R347" t="s">
        <v>941</v>
      </c>
    </row>
    <row r="348" spans="1:18" x14ac:dyDescent="0.25">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v>8605</v>
      </c>
      <c r="R348" t="s">
        <v>939</v>
      </c>
    </row>
    <row r="349" spans="1:18" x14ac:dyDescent="0.25">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v>3730</v>
      </c>
      <c r="R349" t="s">
        <v>943</v>
      </c>
    </row>
    <row r="350" spans="1:18" x14ac:dyDescent="0.25">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v>4448</v>
      </c>
      <c r="R350" t="s">
        <v>941</v>
      </c>
    </row>
    <row r="351" spans="1:18" x14ac:dyDescent="0.25">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v>289</v>
      </c>
      <c r="R351" t="s">
        <v>941</v>
      </c>
    </row>
    <row r="352" spans="1:18" x14ac:dyDescent="0.25">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v>5008</v>
      </c>
      <c r="R352" t="s">
        <v>943</v>
      </c>
    </row>
    <row r="353" spans="1:18" x14ac:dyDescent="0.25">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v>2282</v>
      </c>
      <c r="R353" t="s">
        <v>939</v>
      </c>
    </row>
    <row r="354" spans="1:18" x14ac:dyDescent="0.25">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v>9325</v>
      </c>
      <c r="R354" t="s">
        <v>938</v>
      </c>
    </row>
    <row r="355" spans="1:18" x14ac:dyDescent="0.25">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v>1638</v>
      </c>
      <c r="R355" t="s">
        <v>940</v>
      </c>
    </row>
    <row r="356" spans="1:18" x14ac:dyDescent="0.25">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v>4564</v>
      </c>
      <c r="R356" t="s">
        <v>937</v>
      </c>
    </row>
    <row r="357" spans="1:18" x14ac:dyDescent="0.25">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v>409</v>
      </c>
      <c r="R357" t="s">
        <v>939</v>
      </c>
    </row>
    <row r="358" spans="1:18" x14ac:dyDescent="0.25">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v>2282</v>
      </c>
      <c r="R358" t="s">
        <v>939</v>
      </c>
    </row>
    <row r="359" spans="1:18" x14ac:dyDescent="0.25">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v>1865</v>
      </c>
      <c r="R359" t="s">
        <v>942</v>
      </c>
    </row>
    <row r="360" spans="1:18" x14ac:dyDescent="0.25">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v>289</v>
      </c>
      <c r="R360" t="s">
        <v>939</v>
      </c>
    </row>
    <row r="361" spans="1:18" x14ac:dyDescent="0.25">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v>1865</v>
      </c>
      <c r="R361" t="s">
        <v>942</v>
      </c>
    </row>
    <row r="362" spans="1:18" x14ac:dyDescent="0.25">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v>8190</v>
      </c>
      <c r="R362" t="s">
        <v>940</v>
      </c>
    </row>
    <row r="363" spans="1:18" x14ac:dyDescent="0.25">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v>8605</v>
      </c>
      <c r="R363" t="s">
        <v>943</v>
      </c>
    </row>
    <row r="364" spans="1:18" x14ac:dyDescent="0.25">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v>867</v>
      </c>
      <c r="R364" t="s">
        <v>940</v>
      </c>
    </row>
    <row r="365" spans="1:18" x14ac:dyDescent="0.25">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v>1445</v>
      </c>
      <c r="R365" t="s">
        <v>942</v>
      </c>
    </row>
    <row r="366" spans="1:18" x14ac:dyDescent="0.25">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v>1112</v>
      </c>
      <c r="R366" t="s">
        <v>941</v>
      </c>
    </row>
    <row r="367" spans="1:18" x14ac:dyDescent="0.25">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v>3423</v>
      </c>
      <c r="R367" t="s">
        <v>941</v>
      </c>
    </row>
    <row r="368" spans="1:18" x14ac:dyDescent="0.25">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v>4448</v>
      </c>
      <c r="R368" t="s">
        <v>942</v>
      </c>
    </row>
    <row r="369" spans="1:18" x14ac:dyDescent="0.25">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v>2282</v>
      </c>
      <c r="R369" t="s">
        <v>940</v>
      </c>
    </row>
    <row r="370" spans="1:18" x14ac:dyDescent="0.25">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v>1141</v>
      </c>
      <c r="R370" t="s">
        <v>940</v>
      </c>
    </row>
    <row r="371" spans="1:18" x14ac:dyDescent="0.25">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v>2994</v>
      </c>
      <c r="R371" t="s">
        <v>941</v>
      </c>
    </row>
    <row r="372" spans="1:18" x14ac:dyDescent="0.25">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v>1865</v>
      </c>
      <c r="R372" t="s">
        <v>941</v>
      </c>
    </row>
    <row r="373" spans="1:18" x14ac:dyDescent="0.25">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v>867</v>
      </c>
      <c r="R373" t="s">
        <v>937</v>
      </c>
    </row>
    <row r="374" spans="1:18" x14ac:dyDescent="0.25">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v>5163</v>
      </c>
      <c r="R374" t="s">
        <v>942</v>
      </c>
    </row>
    <row r="375" spans="1:18" x14ac:dyDescent="0.25">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v>1252</v>
      </c>
      <c r="R375" t="s">
        <v>939</v>
      </c>
    </row>
    <row r="376" spans="1:18" x14ac:dyDescent="0.25">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v>1356</v>
      </c>
      <c r="R376" t="s">
        <v>943</v>
      </c>
    </row>
    <row r="377" spans="1:18" x14ac:dyDescent="0.25">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v>2282</v>
      </c>
      <c r="R377" t="s">
        <v>938</v>
      </c>
    </row>
    <row r="378" spans="1:18" x14ac:dyDescent="0.25">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v>1638</v>
      </c>
      <c r="R378" t="s">
        <v>943</v>
      </c>
    </row>
    <row r="379" spans="1:18" x14ac:dyDescent="0.25">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v>2712</v>
      </c>
      <c r="R379" t="s">
        <v>937</v>
      </c>
    </row>
    <row r="380" spans="1:18" x14ac:dyDescent="0.25">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v>3276</v>
      </c>
      <c r="R380" t="s">
        <v>940</v>
      </c>
    </row>
    <row r="381" spans="1:18" x14ac:dyDescent="0.25">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v>7112</v>
      </c>
      <c r="R381" t="s">
        <v>940</v>
      </c>
    </row>
    <row r="382" spans="1:18" x14ac:dyDescent="0.25">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940</v>
      </c>
    </row>
    <row r="383" spans="1:18" x14ac:dyDescent="0.25">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v>3210</v>
      </c>
      <c r="R383" t="s">
        <v>942</v>
      </c>
    </row>
    <row r="384" spans="1:18" x14ac:dyDescent="0.25">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v>1605</v>
      </c>
      <c r="R384" t="s">
        <v>942</v>
      </c>
    </row>
    <row r="385" spans="1:18" x14ac:dyDescent="0.25">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v>8025</v>
      </c>
      <c r="R385" t="s">
        <v>940</v>
      </c>
    </row>
    <row r="386" spans="1:18" x14ac:dyDescent="0.25">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v>8025</v>
      </c>
      <c r="R386" t="s">
        <v>940</v>
      </c>
    </row>
    <row r="387" spans="1:18" x14ac:dyDescent="0.25">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v>7805</v>
      </c>
      <c r="R387" t="s">
        <v>937</v>
      </c>
    </row>
    <row r="388" spans="1:18" x14ac:dyDescent="0.25">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v>5340</v>
      </c>
      <c r="R388" t="s">
        <v>939</v>
      </c>
    </row>
    <row r="389" spans="1:18" x14ac:dyDescent="0.25">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v>2192</v>
      </c>
      <c r="R389" t="s">
        <v>938</v>
      </c>
    </row>
    <row r="390" spans="1:18" x14ac:dyDescent="0.25">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v>2433</v>
      </c>
      <c r="R390" t="s">
        <v>940</v>
      </c>
    </row>
    <row r="391" spans="1:18" x14ac:dyDescent="0.25">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v>4055</v>
      </c>
      <c r="R391" t="s">
        <v>942</v>
      </c>
    </row>
    <row r="392" spans="1:18" x14ac:dyDescent="0.25">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v>2740</v>
      </c>
      <c r="R392" t="s">
        <v>937</v>
      </c>
    </row>
    <row r="393" spans="1:18" x14ac:dyDescent="0.25">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v>5712</v>
      </c>
      <c r="R393" t="s">
        <v>940</v>
      </c>
    </row>
    <row r="394" spans="1:18" x14ac:dyDescent="0.25">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v>3808</v>
      </c>
      <c r="R394" t="s">
        <v>943</v>
      </c>
    </row>
    <row r="395" spans="1:18" x14ac:dyDescent="0.25">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v>9390</v>
      </c>
      <c r="R395" t="s">
        <v>940</v>
      </c>
    </row>
    <row r="396" spans="1:18" x14ac:dyDescent="0.25">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v>7616</v>
      </c>
      <c r="R396" t="s">
        <v>943</v>
      </c>
    </row>
    <row r="397" spans="1:18" x14ac:dyDescent="0.25">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v>8025</v>
      </c>
      <c r="R397" t="s">
        <v>942</v>
      </c>
    </row>
    <row r="398" spans="1:18" x14ac:dyDescent="0.25">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v>6688</v>
      </c>
      <c r="R398" t="s">
        <v>940</v>
      </c>
    </row>
    <row r="399" spans="1:18" x14ac:dyDescent="0.25">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v>7112</v>
      </c>
      <c r="R399" t="s">
        <v>941</v>
      </c>
    </row>
    <row r="400" spans="1:18" x14ac:dyDescent="0.25">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v>1335</v>
      </c>
      <c r="R400" t="s">
        <v>943</v>
      </c>
    </row>
    <row r="401" spans="1:18" x14ac:dyDescent="0.25">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v>5634</v>
      </c>
      <c r="R401" t="s">
        <v>940</v>
      </c>
    </row>
    <row r="402" spans="1:18" x14ac:dyDescent="0.25">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v>5634</v>
      </c>
      <c r="R402" t="s">
        <v>943</v>
      </c>
    </row>
    <row r="403" spans="1:18" x14ac:dyDescent="0.25">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v>5334</v>
      </c>
      <c r="R403" t="s">
        <v>942</v>
      </c>
    </row>
    <row r="404" spans="1:18" x14ac:dyDescent="0.25">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v>7512</v>
      </c>
      <c r="R404" t="s">
        <v>937</v>
      </c>
    </row>
    <row r="405" spans="1:18" x14ac:dyDescent="0.25">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v>1904</v>
      </c>
      <c r="R405" t="s">
        <v>937</v>
      </c>
    </row>
    <row r="406" spans="1:18" x14ac:dyDescent="0.25">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v>1644</v>
      </c>
      <c r="R406" t="s">
        <v>942</v>
      </c>
    </row>
    <row r="407" spans="1:18" x14ac:dyDescent="0.25">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v>1561</v>
      </c>
      <c r="R407" t="s">
        <v>938</v>
      </c>
    </row>
    <row r="408" spans="1:18" x14ac:dyDescent="0.25">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v>4683</v>
      </c>
      <c r="R408" t="s">
        <v>942</v>
      </c>
    </row>
    <row r="409" spans="1:18" x14ac:dyDescent="0.25">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v>7805</v>
      </c>
      <c r="R409" t="s">
        <v>942</v>
      </c>
    </row>
    <row r="410" spans="1:18" x14ac:dyDescent="0.25">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v>6675</v>
      </c>
      <c r="R410" t="s">
        <v>938</v>
      </c>
    </row>
    <row r="411" spans="1:18" x14ac:dyDescent="0.25">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v>2670</v>
      </c>
      <c r="R411" t="s">
        <v>941</v>
      </c>
    </row>
    <row r="412" spans="1:18" x14ac:dyDescent="0.25">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v>1605</v>
      </c>
      <c r="R412" t="s">
        <v>942</v>
      </c>
    </row>
    <row r="413" spans="1:18" x14ac:dyDescent="0.25">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v>1878</v>
      </c>
      <c r="R413" t="s">
        <v>940</v>
      </c>
    </row>
    <row r="414" spans="1:18" x14ac:dyDescent="0.25">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v>2740</v>
      </c>
      <c r="R414" t="s">
        <v>939</v>
      </c>
    </row>
    <row r="415" spans="1:18" x14ac:dyDescent="0.25">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940</v>
      </c>
    </row>
    <row r="416" spans="1:18" x14ac:dyDescent="0.25">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v>1622</v>
      </c>
      <c r="R416" t="s">
        <v>943</v>
      </c>
    </row>
    <row r="417" spans="1:18" x14ac:dyDescent="0.25">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v>1672</v>
      </c>
      <c r="R417" t="s">
        <v>941</v>
      </c>
    </row>
    <row r="418" spans="1:18" x14ac:dyDescent="0.25">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v>1672</v>
      </c>
      <c r="R418" t="s">
        <v>940</v>
      </c>
    </row>
    <row r="419" spans="1:18" x14ac:dyDescent="0.25">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v>4683</v>
      </c>
      <c r="R419" t="s">
        <v>940</v>
      </c>
    </row>
    <row r="420" spans="1:18" x14ac:dyDescent="0.25">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v>3210</v>
      </c>
      <c r="R420" t="s">
        <v>940</v>
      </c>
    </row>
    <row r="421" spans="1:18" x14ac:dyDescent="0.25">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v>8890</v>
      </c>
      <c r="R421" t="s">
        <v>942</v>
      </c>
    </row>
    <row r="422" spans="1:18" x14ac:dyDescent="0.25">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v>2670</v>
      </c>
      <c r="R422" t="s">
        <v>942</v>
      </c>
    </row>
    <row r="423" spans="1:18" x14ac:dyDescent="0.25">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v>1778</v>
      </c>
      <c r="R423" t="s">
        <v>938</v>
      </c>
    </row>
    <row r="424" spans="1:18" x14ac:dyDescent="0.25">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v>3808</v>
      </c>
      <c r="R424" t="s">
        <v>941</v>
      </c>
    </row>
    <row r="425" spans="1:18" x14ac:dyDescent="0.25">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v>1904</v>
      </c>
      <c r="R425" t="s">
        <v>940</v>
      </c>
    </row>
    <row r="426" spans="1:18" x14ac:dyDescent="0.25">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v>7616</v>
      </c>
      <c r="R426" t="s">
        <v>937</v>
      </c>
    </row>
    <row r="427" spans="1:18" x14ac:dyDescent="0.25">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v>8025</v>
      </c>
      <c r="R427" t="s">
        <v>942</v>
      </c>
    </row>
    <row r="428" spans="1:18" x14ac:dyDescent="0.25">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v>7805</v>
      </c>
      <c r="R428" t="s">
        <v>942</v>
      </c>
    </row>
    <row r="429" spans="1:18" x14ac:dyDescent="0.25">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v>7616</v>
      </c>
      <c r="R429" t="s">
        <v>939</v>
      </c>
    </row>
    <row r="430" spans="1:18" x14ac:dyDescent="0.25">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v>4055</v>
      </c>
      <c r="R430" t="s">
        <v>942</v>
      </c>
    </row>
    <row r="431" spans="1:18" x14ac:dyDescent="0.25">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v>5634</v>
      </c>
      <c r="R431" t="s">
        <v>943</v>
      </c>
    </row>
    <row r="432" spans="1:18" x14ac:dyDescent="0.25">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v>3344</v>
      </c>
      <c r="R432" t="s">
        <v>940</v>
      </c>
    </row>
    <row r="433" spans="1:18" x14ac:dyDescent="0.25">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v>8025</v>
      </c>
      <c r="R433" t="s">
        <v>942</v>
      </c>
    </row>
    <row r="434" spans="1:18" x14ac:dyDescent="0.25">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v>1096</v>
      </c>
      <c r="R434" t="s">
        <v>940</v>
      </c>
    </row>
    <row r="435" spans="1:18" x14ac:dyDescent="0.25">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v>6688</v>
      </c>
      <c r="R435" t="s">
        <v>942</v>
      </c>
    </row>
    <row r="436" spans="1:18" x14ac:dyDescent="0.25">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v>1904</v>
      </c>
      <c r="R436" t="s">
        <v>943</v>
      </c>
    </row>
    <row r="437" spans="1:18" x14ac:dyDescent="0.25">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v>2670</v>
      </c>
      <c r="R437" t="s">
        <v>937</v>
      </c>
    </row>
    <row r="438" spans="1:18" x14ac:dyDescent="0.25">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v>1096</v>
      </c>
      <c r="R438" t="s">
        <v>941</v>
      </c>
    </row>
    <row r="439" spans="1:18" x14ac:dyDescent="0.25">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v>9520</v>
      </c>
      <c r="R439" t="s">
        <v>938</v>
      </c>
    </row>
    <row r="440" spans="1:18" x14ac:dyDescent="0.25">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v>1672</v>
      </c>
      <c r="R440" t="s">
        <v>941</v>
      </c>
    </row>
    <row r="441" spans="1:18" x14ac:dyDescent="0.25">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v>1622</v>
      </c>
      <c r="R441" t="s">
        <v>941</v>
      </c>
    </row>
    <row r="442" spans="1:18" x14ac:dyDescent="0.25">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v>6244</v>
      </c>
      <c r="R442" t="s">
        <v>941</v>
      </c>
    </row>
    <row r="443" spans="1:18" x14ac:dyDescent="0.25">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v>3756</v>
      </c>
      <c r="R443" t="s">
        <v>942</v>
      </c>
    </row>
    <row r="444" spans="1:18" x14ac:dyDescent="0.25">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v>811</v>
      </c>
      <c r="R444" t="s">
        <v>940</v>
      </c>
    </row>
    <row r="445" spans="1:18" x14ac:dyDescent="0.25">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v>1335</v>
      </c>
      <c r="R445" t="s">
        <v>942</v>
      </c>
    </row>
    <row r="446" spans="1:18" x14ac:dyDescent="0.25">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v>7616</v>
      </c>
      <c r="R446" t="s">
        <v>940</v>
      </c>
    </row>
    <row r="447" spans="1:18" x14ac:dyDescent="0.25">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v>1644</v>
      </c>
      <c r="R447" t="s">
        <v>940</v>
      </c>
    </row>
    <row r="448" spans="1:18" x14ac:dyDescent="0.25">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v>3756</v>
      </c>
      <c r="R448" t="s">
        <v>939</v>
      </c>
    </row>
    <row r="449" spans="1:18" x14ac:dyDescent="0.25">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v>8890</v>
      </c>
      <c r="R449" t="s">
        <v>942</v>
      </c>
    </row>
    <row r="450" spans="1:18" x14ac:dyDescent="0.25">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v>2433</v>
      </c>
      <c r="R450" t="s">
        <v>939</v>
      </c>
    </row>
    <row r="451" spans="1:18" x14ac:dyDescent="0.25">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v>8025</v>
      </c>
      <c r="R451" t="s">
        <v>940</v>
      </c>
    </row>
    <row r="452" spans="1:18" x14ac:dyDescent="0.25">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v>1878</v>
      </c>
      <c r="R452" t="s">
        <v>942</v>
      </c>
    </row>
    <row r="453" spans="1:18" x14ac:dyDescent="0.25">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942</v>
      </c>
    </row>
    <row r="454" spans="1:18" x14ac:dyDescent="0.25">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v>3344</v>
      </c>
      <c r="R454" t="s">
        <v>941</v>
      </c>
    </row>
    <row r="455" spans="1:18" x14ac:dyDescent="0.25">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v>6688</v>
      </c>
      <c r="R455" t="s">
        <v>940</v>
      </c>
    </row>
    <row r="456" spans="1:18" x14ac:dyDescent="0.25">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v>2670</v>
      </c>
      <c r="R456" t="s">
        <v>938</v>
      </c>
    </row>
    <row r="457" spans="1:18" x14ac:dyDescent="0.25">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v>9390</v>
      </c>
      <c r="R457" t="s">
        <v>940</v>
      </c>
    </row>
    <row r="458" spans="1:18" x14ac:dyDescent="0.25">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v>1335</v>
      </c>
      <c r="R458" t="s">
        <v>941</v>
      </c>
    </row>
    <row r="459" spans="1:18" x14ac:dyDescent="0.25">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v>9520</v>
      </c>
      <c r="R459" t="s">
        <v>941</v>
      </c>
    </row>
    <row r="460" spans="1:18" x14ac:dyDescent="0.25">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v>3556</v>
      </c>
      <c r="R460" t="s">
        <v>942</v>
      </c>
    </row>
    <row r="461" spans="1:18" x14ac:dyDescent="0.25">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v>5334</v>
      </c>
      <c r="R461" t="s">
        <v>939</v>
      </c>
    </row>
    <row r="462" spans="1:18" x14ac:dyDescent="0.25">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v>5634</v>
      </c>
      <c r="R462" t="s">
        <v>940</v>
      </c>
    </row>
    <row r="463" spans="1:18" x14ac:dyDescent="0.25">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v>8360</v>
      </c>
      <c r="R463" t="s">
        <v>942</v>
      </c>
    </row>
    <row r="464" spans="1:18" x14ac:dyDescent="0.25">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v>8890</v>
      </c>
      <c r="R464" t="s">
        <v>940</v>
      </c>
    </row>
    <row r="465" spans="1:18" x14ac:dyDescent="0.25">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v>3344</v>
      </c>
      <c r="R465" t="s">
        <v>939</v>
      </c>
    </row>
    <row r="466" spans="1:18" x14ac:dyDescent="0.25">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v>2433</v>
      </c>
      <c r="R466" t="s">
        <v>938</v>
      </c>
    </row>
    <row r="467" spans="1:18" x14ac:dyDescent="0.25">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v>7805</v>
      </c>
      <c r="R467" t="s">
        <v>939</v>
      </c>
    </row>
    <row r="468" spans="1:18" x14ac:dyDescent="0.25">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v>3122</v>
      </c>
      <c r="R468" t="s">
        <v>941</v>
      </c>
    </row>
    <row r="469" spans="1:18" x14ac:dyDescent="0.25">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v>3756</v>
      </c>
      <c r="R469" t="s">
        <v>942</v>
      </c>
    </row>
    <row r="470" spans="1:18" x14ac:dyDescent="0.25">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v>4683</v>
      </c>
      <c r="R470" t="s">
        <v>942</v>
      </c>
    </row>
    <row r="471" spans="1:18" x14ac:dyDescent="0.25">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v>3808</v>
      </c>
      <c r="R471" t="s">
        <v>941</v>
      </c>
    </row>
    <row r="472" spans="1:18" x14ac:dyDescent="0.25">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v>1644</v>
      </c>
      <c r="R472" t="s">
        <v>938</v>
      </c>
    </row>
    <row r="473" spans="1:18" x14ac:dyDescent="0.25">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v>5634</v>
      </c>
      <c r="R473" t="s">
        <v>942</v>
      </c>
    </row>
    <row r="474" spans="1:18" x14ac:dyDescent="0.25">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v>6688</v>
      </c>
      <c r="R474" t="s">
        <v>938</v>
      </c>
    </row>
    <row r="475" spans="1:18" x14ac:dyDescent="0.25">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v>7616</v>
      </c>
      <c r="R475" t="s">
        <v>942</v>
      </c>
    </row>
    <row r="476" spans="1:18" x14ac:dyDescent="0.25">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v>8360</v>
      </c>
      <c r="R476" t="s">
        <v>942</v>
      </c>
    </row>
    <row r="477" spans="1:18" x14ac:dyDescent="0.25">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v>2670</v>
      </c>
      <c r="R477" t="s">
        <v>941</v>
      </c>
    </row>
    <row r="478" spans="1:18" x14ac:dyDescent="0.25">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v>811</v>
      </c>
      <c r="R478" t="s">
        <v>942</v>
      </c>
    </row>
    <row r="479" spans="1:18" x14ac:dyDescent="0.25">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v>4055</v>
      </c>
      <c r="R479" t="s">
        <v>939</v>
      </c>
    </row>
    <row r="480" spans="1:18" x14ac:dyDescent="0.25">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v>8360</v>
      </c>
      <c r="R480" t="s">
        <v>938</v>
      </c>
    </row>
    <row r="481" spans="1:18" x14ac:dyDescent="0.25">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v>8360</v>
      </c>
      <c r="R481" t="s">
        <v>943</v>
      </c>
    </row>
    <row r="482" spans="1:18" x14ac:dyDescent="0.25">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v>3556</v>
      </c>
      <c r="R482" t="s">
        <v>939</v>
      </c>
    </row>
    <row r="483" spans="1:18" x14ac:dyDescent="0.25">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v>3210</v>
      </c>
      <c r="R483" t="s">
        <v>937</v>
      </c>
    </row>
    <row r="484" spans="1:18" x14ac:dyDescent="0.25">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v>9520</v>
      </c>
      <c r="R484" t="s">
        <v>941</v>
      </c>
    </row>
    <row r="485" spans="1:18" x14ac:dyDescent="0.25">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v>1605</v>
      </c>
      <c r="R485" t="s">
        <v>939</v>
      </c>
    </row>
    <row r="486" spans="1:18" x14ac:dyDescent="0.25">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v>5016</v>
      </c>
      <c r="R486" t="s">
        <v>943</v>
      </c>
    </row>
    <row r="487" spans="1:18" x14ac:dyDescent="0.25">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v>3210</v>
      </c>
      <c r="R487" t="s">
        <v>942</v>
      </c>
    </row>
    <row r="488" spans="1:18" x14ac:dyDescent="0.25">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v>3122</v>
      </c>
      <c r="R488" t="s">
        <v>941</v>
      </c>
    </row>
    <row r="489" spans="1:18" x14ac:dyDescent="0.25">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v>9520</v>
      </c>
      <c r="R489" t="s">
        <v>942</v>
      </c>
    </row>
    <row r="490" spans="1:18" x14ac:dyDescent="0.25">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v>5634</v>
      </c>
      <c r="R490" t="s">
        <v>942</v>
      </c>
    </row>
    <row r="491" spans="1:18" x14ac:dyDescent="0.25">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v>5634</v>
      </c>
      <c r="R491" t="s">
        <v>940</v>
      </c>
    </row>
    <row r="492" spans="1:18" x14ac:dyDescent="0.25">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v>1605</v>
      </c>
      <c r="R492" t="s">
        <v>942</v>
      </c>
    </row>
    <row r="493" spans="1:18" x14ac:dyDescent="0.25">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v>6244</v>
      </c>
      <c r="R493" t="s">
        <v>938</v>
      </c>
    </row>
    <row r="494" spans="1:18" x14ac:dyDescent="0.25">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v>3122</v>
      </c>
      <c r="R494" t="s">
        <v>940</v>
      </c>
    </row>
    <row r="495" spans="1:18" x14ac:dyDescent="0.25">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v>7512</v>
      </c>
      <c r="R495" t="s">
        <v>937</v>
      </c>
    </row>
    <row r="496" spans="1:18" x14ac:dyDescent="0.25">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v>6675</v>
      </c>
      <c r="R496" t="s">
        <v>942</v>
      </c>
    </row>
    <row r="497" spans="1:18" x14ac:dyDescent="0.25">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v>7112</v>
      </c>
      <c r="R497" t="s">
        <v>941</v>
      </c>
    </row>
    <row r="498" spans="1:18" x14ac:dyDescent="0.25">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v>3756</v>
      </c>
      <c r="R498" t="s">
        <v>942</v>
      </c>
    </row>
    <row r="499" spans="1:18" x14ac:dyDescent="0.25">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v>5016</v>
      </c>
      <c r="R499" t="s">
        <v>941</v>
      </c>
    </row>
    <row r="500" spans="1:18" x14ac:dyDescent="0.25">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v>6675</v>
      </c>
      <c r="R500" t="s">
        <v>939</v>
      </c>
    </row>
    <row r="501" spans="1:18" x14ac:dyDescent="0.25">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v>2192</v>
      </c>
      <c r="R501" t="s">
        <v>942</v>
      </c>
    </row>
    <row r="502" spans="1:18" x14ac:dyDescent="0.25">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v>8890</v>
      </c>
      <c r="R502" t="s">
        <v>942</v>
      </c>
    </row>
    <row r="503" spans="1:18" x14ac:dyDescent="0.25">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v>7616</v>
      </c>
      <c r="R503" t="s">
        <v>937</v>
      </c>
    </row>
    <row r="504" spans="1:18" x14ac:dyDescent="0.25">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v>6420</v>
      </c>
      <c r="R504" t="s">
        <v>942</v>
      </c>
    </row>
    <row r="505" spans="1:18" x14ac:dyDescent="0.25">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v>2740</v>
      </c>
      <c r="R505" t="s">
        <v>942</v>
      </c>
    </row>
    <row r="506" spans="1:18" x14ac:dyDescent="0.25">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v>2740</v>
      </c>
      <c r="R506" t="s">
        <v>940</v>
      </c>
    </row>
    <row r="507" spans="1:18" x14ac:dyDescent="0.25">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v>2433</v>
      </c>
      <c r="R507" t="s">
        <v>942</v>
      </c>
    </row>
    <row r="508" spans="1:18" x14ac:dyDescent="0.25">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v>6420</v>
      </c>
      <c r="R508" t="s">
        <v>940</v>
      </c>
    </row>
    <row r="509" spans="1:18" x14ac:dyDescent="0.25">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v>6675</v>
      </c>
      <c r="R509" t="s">
        <v>942</v>
      </c>
    </row>
    <row r="510" spans="1:18" x14ac:dyDescent="0.25">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v>3210</v>
      </c>
      <c r="R510" t="s">
        <v>939</v>
      </c>
    </row>
    <row r="511" spans="1:18" x14ac:dyDescent="0.25">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v>6420</v>
      </c>
      <c r="R511" t="s">
        <v>941</v>
      </c>
    </row>
    <row r="512" spans="1:18" x14ac:dyDescent="0.25">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v>2192</v>
      </c>
      <c r="R512" t="s">
        <v>939</v>
      </c>
    </row>
    <row r="513" spans="1:18" x14ac:dyDescent="0.25">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v>5232</v>
      </c>
      <c r="R513" t="s">
        <v>937</v>
      </c>
    </row>
    <row r="514" spans="1:18" x14ac:dyDescent="0.25">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v>2598</v>
      </c>
      <c r="R514" t="s">
        <v>939</v>
      </c>
    </row>
    <row r="515" spans="1:18" x14ac:dyDescent="0.25">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v>9615</v>
      </c>
      <c r="R515" t="s">
        <v>940</v>
      </c>
    </row>
    <row r="516" spans="1:18" x14ac:dyDescent="0.25">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v>1036</v>
      </c>
      <c r="R516" t="s">
        <v>941</v>
      </c>
    </row>
    <row r="517" spans="1:18" x14ac:dyDescent="0.25">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v>6976</v>
      </c>
      <c r="R517" t="s">
        <v>938</v>
      </c>
    </row>
    <row r="518" spans="1:18" x14ac:dyDescent="0.25">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v>1502</v>
      </c>
      <c r="R518" t="s">
        <v>937</v>
      </c>
    </row>
    <row r="519" spans="1:18" x14ac:dyDescent="0.25">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v>1070</v>
      </c>
      <c r="R519" t="s">
        <v>940</v>
      </c>
    </row>
    <row r="520" spans="1:18" x14ac:dyDescent="0.25">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v>4330</v>
      </c>
      <c r="R520" t="s">
        <v>938</v>
      </c>
    </row>
    <row r="521" spans="1:18" x14ac:dyDescent="0.25">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v>562</v>
      </c>
      <c r="R521" t="s">
        <v>941</v>
      </c>
    </row>
    <row r="522" spans="1:18" x14ac:dyDescent="0.25">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v>1899</v>
      </c>
      <c r="R522" t="s">
        <v>943</v>
      </c>
    </row>
    <row r="523" spans="1:18" x14ac:dyDescent="0.25">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v>3004</v>
      </c>
      <c r="R523" t="s">
        <v>942</v>
      </c>
    </row>
    <row r="524" spans="1:18" x14ac:dyDescent="0.25">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v>1639</v>
      </c>
      <c r="R524" t="s">
        <v>942</v>
      </c>
    </row>
    <row r="525" spans="1:18" x14ac:dyDescent="0.25">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v>1686</v>
      </c>
      <c r="R525" t="s">
        <v>940</v>
      </c>
    </row>
    <row r="526" spans="1:18" x14ac:dyDescent="0.25">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v>5697</v>
      </c>
      <c r="R526" t="s">
        <v>937</v>
      </c>
    </row>
    <row r="527" spans="1:18" x14ac:dyDescent="0.25">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v>4044</v>
      </c>
      <c r="R527" t="s">
        <v>941</v>
      </c>
    </row>
    <row r="528" spans="1:18" x14ac:dyDescent="0.25">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v>2248</v>
      </c>
      <c r="R528" t="s">
        <v>942</v>
      </c>
    </row>
    <row r="529" spans="1:18" x14ac:dyDescent="0.25">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v>3360</v>
      </c>
      <c r="R529" t="s">
        <v>941</v>
      </c>
    </row>
    <row r="530" spans="1:18" x14ac:dyDescent="0.25">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v>259</v>
      </c>
      <c r="R530" t="s">
        <v>941</v>
      </c>
    </row>
    <row r="531" spans="1:18" x14ac:dyDescent="0.25">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v>697</v>
      </c>
      <c r="R531" t="s">
        <v>941</v>
      </c>
    </row>
    <row r="532" spans="1:18" x14ac:dyDescent="0.25">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v>722</v>
      </c>
      <c r="R532" t="s">
        <v>942</v>
      </c>
    </row>
    <row r="533" spans="1:18" x14ac:dyDescent="0.25">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v>2888</v>
      </c>
      <c r="R533" t="s">
        <v>937</v>
      </c>
    </row>
    <row r="534" spans="1:18" x14ac:dyDescent="0.25">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v>774</v>
      </c>
      <c r="R534" t="s">
        <v>942</v>
      </c>
    </row>
    <row r="535" spans="1:18" x14ac:dyDescent="0.25">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v>774</v>
      </c>
      <c r="R535" t="s">
        <v>939</v>
      </c>
    </row>
    <row r="536" spans="1:18" x14ac:dyDescent="0.25">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v>2140</v>
      </c>
      <c r="R536" t="s">
        <v>938</v>
      </c>
    </row>
    <row r="537" spans="1:18" x14ac:dyDescent="0.25">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v>2976</v>
      </c>
      <c r="R537" t="s">
        <v>939</v>
      </c>
    </row>
    <row r="538" spans="1:18" x14ac:dyDescent="0.25">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v>5769</v>
      </c>
      <c r="R538" t="s">
        <v>937</v>
      </c>
    </row>
    <row r="539" spans="1:18" x14ac:dyDescent="0.25">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v>5685</v>
      </c>
      <c r="R539" t="s">
        <v>942</v>
      </c>
    </row>
    <row r="540" spans="1:18" x14ac:dyDescent="0.25">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v>7910</v>
      </c>
      <c r="R540" t="s">
        <v>941</v>
      </c>
    </row>
    <row r="541" spans="1:18" x14ac:dyDescent="0.25">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v>7440</v>
      </c>
      <c r="R541" t="s">
        <v>943</v>
      </c>
    </row>
    <row r="542" spans="1:18" x14ac:dyDescent="0.25">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v>1792</v>
      </c>
      <c r="R542" t="s">
        <v>942</v>
      </c>
    </row>
    <row r="543" spans="1:18" x14ac:dyDescent="0.25">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v>609</v>
      </c>
      <c r="R543" t="s">
        <v>938</v>
      </c>
    </row>
    <row r="544" spans="1:18" x14ac:dyDescent="0.25">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v>6976</v>
      </c>
      <c r="R544" t="s">
        <v>938</v>
      </c>
    </row>
    <row r="545" spans="1:18" x14ac:dyDescent="0.25">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v>1895</v>
      </c>
      <c r="R545" t="s">
        <v>943</v>
      </c>
    </row>
    <row r="546" spans="1:18" x14ac:dyDescent="0.25">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v>7580</v>
      </c>
      <c r="R546" t="s">
        <v>940</v>
      </c>
    </row>
    <row r="547" spans="1:18" x14ac:dyDescent="0.25">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v>1686</v>
      </c>
      <c r="R547" t="s">
        <v>937</v>
      </c>
    </row>
    <row r="548" spans="1:18" x14ac:dyDescent="0.25">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v>5805</v>
      </c>
      <c r="R548" t="s">
        <v>942</v>
      </c>
    </row>
    <row r="549" spans="1:18" x14ac:dyDescent="0.25">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v>3610</v>
      </c>
      <c r="R549" t="s">
        <v>942</v>
      </c>
    </row>
    <row r="550" spans="1:18" x14ac:dyDescent="0.25">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v>810</v>
      </c>
      <c r="R550" t="s">
        <v>942</v>
      </c>
    </row>
    <row r="551" spans="1:18" x14ac:dyDescent="0.25">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v>1582</v>
      </c>
      <c r="R551" t="s">
        <v>940</v>
      </c>
    </row>
    <row r="552" spans="1:18" x14ac:dyDescent="0.25">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v>518</v>
      </c>
      <c r="R552" t="s">
        <v>938</v>
      </c>
    </row>
    <row r="553" spans="1:18" x14ac:dyDescent="0.25">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v>4392</v>
      </c>
      <c r="R553" t="s">
        <v>939</v>
      </c>
    </row>
    <row r="554" spans="1:18" x14ac:dyDescent="0.25">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v>2196</v>
      </c>
      <c r="R554" t="s">
        <v>943</v>
      </c>
    </row>
    <row r="555" spans="1:18" x14ac:dyDescent="0.25">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v>1260</v>
      </c>
      <c r="R555" t="s">
        <v>938</v>
      </c>
    </row>
    <row r="556" spans="1:18" x14ac:dyDescent="0.25">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v>1915</v>
      </c>
      <c r="R556" t="s">
        <v>941</v>
      </c>
    </row>
    <row r="557" spans="1:18" x14ac:dyDescent="0.25">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941</v>
      </c>
    </row>
    <row r="558" spans="1:18" x14ac:dyDescent="0.25">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v>1015</v>
      </c>
      <c r="R558" t="s">
        <v>939</v>
      </c>
    </row>
    <row r="559" spans="1:18" x14ac:dyDescent="0.25">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v>1502</v>
      </c>
      <c r="R559" t="s">
        <v>942</v>
      </c>
    </row>
    <row r="560" spans="1:18" x14ac:dyDescent="0.25">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v>2976</v>
      </c>
      <c r="R560" t="s">
        <v>941</v>
      </c>
    </row>
    <row r="561" spans="1:18" x14ac:dyDescent="0.25">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v>3606</v>
      </c>
      <c r="R561" t="s">
        <v>938</v>
      </c>
    </row>
    <row r="562" spans="1:18" x14ac:dyDescent="0.25">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v>406</v>
      </c>
      <c r="R562" t="s">
        <v>939</v>
      </c>
    </row>
    <row r="563" spans="1:18" x14ac:dyDescent="0.25">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v>9495</v>
      </c>
      <c r="R563" t="s">
        <v>942</v>
      </c>
    </row>
    <row r="564" spans="1:18" x14ac:dyDescent="0.25">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v>4336</v>
      </c>
      <c r="R564" t="s">
        <v>942</v>
      </c>
    </row>
    <row r="565" spans="1:18" x14ac:dyDescent="0.25">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v>3608</v>
      </c>
      <c r="R565" t="s">
        <v>941</v>
      </c>
    </row>
    <row r="566" spans="1:18" x14ac:dyDescent="0.25">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v>1605</v>
      </c>
      <c r="R566" t="s">
        <v>941</v>
      </c>
    </row>
    <row r="567" spans="1:18" x14ac:dyDescent="0.25">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v>4336</v>
      </c>
      <c r="R567" t="s">
        <v>938</v>
      </c>
    </row>
    <row r="568" spans="1:18" x14ac:dyDescent="0.25">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v>1374</v>
      </c>
      <c r="R568" t="s">
        <v>940</v>
      </c>
    </row>
    <row r="569" spans="1:18" x14ac:dyDescent="0.25">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v>7596</v>
      </c>
      <c r="R569" t="s">
        <v>938</v>
      </c>
    </row>
    <row r="570" spans="1:18" x14ac:dyDescent="0.25">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v>1899</v>
      </c>
      <c r="R570" t="s">
        <v>938</v>
      </c>
    </row>
    <row r="571" spans="1:18" x14ac:dyDescent="0.25">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v>3360</v>
      </c>
      <c r="R571" t="s">
        <v>937</v>
      </c>
    </row>
    <row r="572" spans="1:18" x14ac:dyDescent="0.25">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v>5088</v>
      </c>
      <c r="R572" t="s">
        <v>942</v>
      </c>
    </row>
    <row r="573" spans="1:18" x14ac:dyDescent="0.25">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v>2168</v>
      </c>
      <c r="R573" t="s">
        <v>938</v>
      </c>
    </row>
    <row r="574" spans="1:18" x14ac:dyDescent="0.25">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v>1935</v>
      </c>
      <c r="R574" t="s">
        <v>937</v>
      </c>
    </row>
    <row r="575" spans="1:18" x14ac:dyDescent="0.25">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v>7692</v>
      </c>
      <c r="R575" t="s">
        <v>938</v>
      </c>
    </row>
    <row r="576" spans="1:18" x14ac:dyDescent="0.25">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v>4336</v>
      </c>
      <c r="R576" t="s">
        <v>943</v>
      </c>
    </row>
    <row r="577" spans="1:18" x14ac:dyDescent="0.25">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v>5952</v>
      </c>
      <c r="R577" t="s">
        <v>942</v>
      </c>
    </row>
    <row r="578" spans="1:18" x14ac:dyDescent="0.25">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v>1744</v>
      </c>
      <c r="R578" t="s">
        <v>937</v>
      </c>
    </row>
    <row r="579" spans="1:18" x14ac:dyDescent="0.25">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v>3294</v>
      </c>
      <c r="R579" t="s">
        <v>940</v>
      </c>
    </row>
    <row r="580" spans="1:18" x14ac:dyDescent="0.25">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v>3252</v>
      </c>
      <c r="R580" t="s">
        <v>942</v>
      </c>
    </row>
    <row r="581" spans="1:18" x14ac:dyDescent="0.25">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v>5496</v>
      </c>
      <c r="R581" t="s">
        <v>939</v>
      </c>
    </row>
    <row r="582" spans="1:18" x14ac:dyDescent="0.25">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v>697</v>
      </c>
      <c r="R582" t="s">
        <v>943</v>
      </c>
    </row>
    <row r="583" spans="1:18" x14ac:dyDescent="0.25">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v>7596</v>
      </c>
      <c r="R583" t="s">
        <v>937</v>
      </c>
    </row>
    <row r="584" spans="1:18" x14ac:dyDescent="0.25">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v>3870</v>
      </c>
      <c r="R584" t="s">
        <v>939</v>
      </c>
    </row>
    <row r="585" spans="1:18" x14ac:dyDescent="0.25">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v>3954</v>
      </c>
      <c r="R585" t="s">
        <v>942</v>
      </c>
    </row>
    <row r="586" spans="1:18" x14ac:dyDescent="0.25">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v>7908</v>
      </c>
      <c r="R586" t="s">
        <v>943</v>
      </c>
    </row>
    <row r="587" spans="1:18" x14ac:dyDescent="0.25">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v>2250</v>
      </c>
      <c r="R587" t="s">
        <v>938</v>
      </c>
    </row>
    <row r="588" spans="1:18" x14ac:dyDescent="0.25">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v>750</v>
      </c>
      <c r="R588" t="s">
        <v>943</v>
      </c>
    </row>
    <row r="589" spans="1:18" x14ac:dyDescent="0.25">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v>1500</v>
      </c>
      <c r="R589" t="s">
        <v>943</v>
      </c>
    </row>
    <row r="590" spans="1:18" x14ac:dyDescent="0.25">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v>750</v>
      </c>
      <c r="R590" t="s">
        <v>937</v>
      </c>
    </row>
    <row r="591" spans="1:18" x14ac:dyDescent="0.25">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v>827</v>
      </c>
      <c r="R591" t="s">
        <v>938</v>
      </c>
    </row>
    <row r="592" spans="1:18" x14ac:dyDescent="0.25">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v>1654</v>
      </c>
      <c r="R592" t="s">
        <v>937</v>
      </c>
    </row>
    <row r="593" spans="1:18" x14ac:dyDescent="0.25">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937</v>
      </c>
    </row>
    <row r="594" spans="1:18" x14ac:dyDescent="0.25">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v>1732</v>
      </c>
      <c r="R594" t="s">
        <v>943</v>
      </c>
    </row>
    <row r="595" spans="1:18" x14ac:dyDescent="0.25">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v>1588</v>
      </c>
      <c r="R595" t="s">
        <v>938</v>
      </c>
    </row>
    <row r="596" spans="1:18" x14ac:dyDescent="0.25">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v>1199</v>
      </c>
      <c r="R596" t="s">
        <v>943</v>
      </c>
    </row>
    <row r="597" spans="1:18" x14ac:dyDescent="0.25">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v>5931</v>
      </c>
      <c r="R597" t="s">
        <v>943</v>
      </c>
    </row>
    <row r="598" spans="1:18" x14ac:dyDescent="0.25">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v>1977</v>
      </c>
      <c r="R598" t="s">
        <v>939</v>
      </c>
    </row>
    <row r="599" spans="1:18" x14ac:dyDescent="0.25">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v>3954</v>
      </c>
      <c r="R599" t="s">
        <v>941</v>
      </c>
    </row>
    <row r="600" spans="1:18" x14ac:dyDescent="0.25">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v>3597</v>
      </c>
      <c r="R600" t="s">
        <v>941</v>
      </c>
    </row>
    <row r="601" spans="1:18" x14ac:dyDescent="0.25">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v>4284</v>
      </c>
      <c r="R601" t="s">
        <v>937</v>
      </c>
    </row>
    <row r="602" spans="1:18" x14ac:dyDescent="0.25">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v>3597</v>
      </c>
      <c r="R602" t="s">
        <v>937</v>
      </c>
    </row>
    <row r="603" spans="1:18" x14ac:dyDescent="0.25">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v>3308</v>
      </c>
      <c r="R603" t="s">
        <v>943</v>
      </c>
    </row>
    <row r="604" spans="1:18" x14ac:dyDescent="0.25">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v>3750</v>
      </c>
      <c r="R604" t="s">
        <v>939</v>
      </c>
    </row>
    <row r="605" spans="1:18" x14ac:dyDescent="0.25">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v>750</v>
      </c>
      <c r="R605" t="s">
        <v>939</v>
      </c>
    </row>
    <row r="606" spans="1:18" x14ac:dyDescent="0.25">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v>2250</v>
      </c>
      <c r="R606" t="s">
        <v>943</v>
      </c>
    </row>
    <row r="607" spans="1:18" x14ac:dyDescent="0.25">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v>3597</v>
      </c>
      <c r="R607" t="s">
        <v>942</v>
      </c>
    </row>
    <row r="608" spans="1:18" x14ac:dyDescent="0.25">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v>5712</v>
      </c>
      <c r="R608" t="s">
        <v>937</v>
      </c>
    </row>
    <row r="609" spans="1:18" x14ac:dyDescent="0.25">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v>3597</v>
      </c>
      <c r="R609" t="s">
        <v>939</v>
      </c>
    </row>
    <row r="610" spans="1:18" x14ac:dyDescent="0.25">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v>1299</v>
      </c>
      <c r="R610" t="s">
        <v>943</v>
      </c>
    </row>
    <row r="611" spans="1:18" x14ac:dyDescent="0.25">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v>4135</v>
      </c>
      <c r="R611" t="s">
        <v>943</v>
      </c>
    </row>
    <row r="612" spans="1:18" x14ac:dyDescent="0.25">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v>7140</v>
      </c>
      <c r="R612" t="s">
        <v>938</v>
      </c>
    </row>
    <row r="613" spans="1:18" x14ac:dyDescent="0.25">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v>5995</v>
      </c>
      <c r="R613" t="s">
        <v>941</v>
      </c>
    </row>
    <row r="614" spans="1:18" x14ac:dyDescent="0.25">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v>4284</v>
      </c>
      <c r="R614" t="s">
        <v>941</v>
      </c>
    </row>
    <row r="615" spans="1:18" x14ac:dyDescent="0.25">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v>9885</v>
      </c>
      <c r="R615" t="s">
        <v>943</v>
      </c>
    </row>
    <row r="616" spans="1:18" x14ac:dyDescent="0.25">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v>3954</v>
      </c>
      <c r="R616" t="s">
        <v>937</v>
      </c>
    </row>
    <row r="617" spans="1:18" x14ac:dyDescent="0.25">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v>3308</v>
      </c>
      <c r="R617" t="s">
        <v>939</v>
      </c>
    </row>
    <row r="618" spans="1:18" x14ac:dyDescent="0.25">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v>3000</v>
      </c>
      <c r="R618" t="s">
        <v>940</v>
      </c>
    </row>
    <row r="619" spans="1:18" x14ac:dyDescent="0.25">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v>9885</v>
      </c>
      <c r="R619" t="s">
        <v>937</v>
      </c>
    </row>
    <row r="620" spans="1:18" x14ac:dyDescent="0.25">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v>3176</v>
      </c>
      <c r="R620" t="s">
        <v>937</v>
      </c>
    </row>
    <row r="621" spans="1:18" x14ac:dyDescent="0.25">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v>1977</v>
      </c>
      <c r="R621" t="s">
        <v>941</v>
      </c>
    </row>
    <row r="622" spans="1:18" x14ac:dyDescent="0.25">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v>2250</v>
      </c>
      <c r="R622" t="s">
        <v>938</v>
      </c>
    </row>
    <row r="623" spans="1:18" x14ac:dyDescent="0.25">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v>1199</v>
      </c>
      <c r="R623" t="s">
        <v>942</v>
      </c>
    </row>
    <row r="624" spans="1:18" x14ac:dyDescent="0.25">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v>3308</v>
      </c>
      <c r="R624" t="s">
        <v>938</v>
      </c>
    </row>
    <row r="625" spans="1:18" x14ac:dyDescent="0.25">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v>1428</v>
      </c>
      <c r="R625" t="s">
        <v>941</v>
      </c>
    </row>
    <row r="626" spans="1:18" x14ac:dyDescent="0.25">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v>2398</v>
      </c>
      <c r="R626" t="s">
        <v>940</v>
      </c>
    </row>
    <row r="627" spans="1:18" x14ac:dyDescent="0.25">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v>5995</v>
      </c>
      <c r="R627" t="s">
        <v>943</v>
      </c>
    </row>
    <row r="628" spans="1:18" x14ac:dyDescent="0.25">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v>433</v>
      </c>
      <c r="R628" t="s">
        <v>940</v>
      </c>
    </row>
    <row r="629" spans="1:18" x14ac:dyDescent="0.25">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v>2165</v>
      </c>
      <c r="R629" t="s">
        <v>939</v>
      </c>
    </row>
    <row r="630" spans="1:18" x14ac:dyDescent="0.25">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v>2481</v>
      </c>
      <c r="R630" t="s">
        <v>943</v>
      </c>
    </row>
    <row r="631" spans="1:18" x14ac:dyDescent="0.25">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v>4135</v>
      </c>
      <c r="R631" t="s">
        <v>937</v>
      </c>
    </row>
    <row r="632" spans="1:18" x14ac:dyDescent="0.25">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941</v>
      </c>
    </row>
    <row r="633" spans="1:18" x14ac:dyDescent="0.25">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v>1977</v>
      </c>
      <c r="R633" t="s">
        <v>940</v>
      </c>
    </row>
    <row r="634" spans="1:18" x14ac:dyDescent="0.25">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v>4135</v>
      </c>
      <c r="R634" t="s">
        <v>943</v>
      </c>
    </row>
    <row r="635" spans="1:18" x14ac:dyDescent="0.25">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v>750</v>
      </c>
      <c r="R635" t="s">
        <v>943</v>
      </c>
    </row>
    <row r="636" spans="1:18" x14ac:dyDescent="0.25">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v>4284</v>
      </c>
      <c r="R636" t="s">
        <v>937</v>
      </c>
    </row>
    <row r="637" spans="1:18" x14ac:dyDescent="0.25">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v>3750</v>
      </c>
      <c r="R637" t="s">
        <v>943</v>
      </c>
    </row>
    <row r="638" spans="1:18" x14ac:dyDescent="0.25">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v>5995</v>
      </c>
      <c r="R638" t="s">
        <v>939</v>
      </c>
    </row>
    <row r="639" spans="1:18" x14ac:dyDescent="0.25">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v>3970</v>
      </c>
      <c r="R639" t="s">
        <v>938</v>
      </c>
    </row>
    <row r="640" spans="1:18" x14ac:dyDescent="0.25">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v>3308</v>
      </c>
      <c r="R640" t="s">
        <v>940</v>
      </c>
    </row>
    <row r="641" spans="1:18" x14ac:dyDescent="0.25">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v>4796</v>
      </c>
      <c r="R641" t="s">
        <v>938</v>
      </c>
    </row>
    <row r="642" spans="1:18" x14ac:dyDescent="0.25">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v>2856</v>
      </c>
      <c r="R642" t="s">
        <v>938</v>
      </c>
    </row>
    <row r="643" spans="1:18" x14ac:dyDescent="0.25">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v>3970</v>
      </c>
      <c r="R643" t="s">
        <v>943</v>
      </c>
    </row>
    <row r="644" spans="1:18" x14ac:dyDescent="0.25">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v>5931</v>
      </c>
      <c r="R644" t="s">
        <v>940</v>
      </c>
    </row>
    <row r="645" spans="1:18" x14ac:dyDescent="0.25">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v>2250</v>
      </c>
      <c r="R645" t="s">
        <v>943</v>
      </c>
    </row>
    <row r="646" spans="1:18" x14ac:dyDescent="0.25">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v>2382</v>
      </c>
      <c r="R646" t="s">
        <v>937</v>
      </c>
    </row>
    <row r="647" spans="1:18" x14ac:dyDescent="0.25">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v>3970</v>
      </c>
      <c r="R647" t="s">
        <v>942</v>
      </c>
    </row>
    <row r="648" spans="1:18" x14ac:dyDescent="0.25">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v>7140</v>
      </c>
      <c r="R648" t="s">
        <v>937</v>
      </c>
    </row>
    <row r="649" spans="1:18" x14ac:dyDescent="0.25">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943</v>
      </c>
    </row>
    <row r="650" spans="1:18" x14ac:dyDescent="0.25">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v>2165</v>
      </c>
      <c r="R650" t="s">
        <v>941</v>
      </c>
    </row>
    <row r="651" spans="1:18" x14ac:dyDescent="0.25">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v>5995</v>
      </c>
      <c r="R651" t="s">
        <v>937</v>
      </c>
    </row>
    <row r="652" spans="1:18" x14ac:dyDescent="0.25">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v>9885</v>
      </c>
      <c r="R652" t="s">
        <v>942</v>
      </c>
    </row>
    <row r="653" spans="1:18" x14ac:dyDescent="0.25">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v>827</v>
      </c>
      <c r="R653" t="s">
        <v>939</v>
      </c>
    </row>
    <row r="654" spans="1:18" x14ac:dyDescent="0.25">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v>4284</v>
      </c>
      <c r="R654" t="s">
        <v>938</v>
      </c>
    </row>
    <row r="655" spans="1:18" x14ac:dyDescent="0.25">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v>2398</v>
      </c>
      <c r="R655" t="s">
        <v>943</v>
      </c>
    </row>
    <row r="656" spans="1:18" x14ac:dyDescent="0.25">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v>794</v>
      </c>
      <c r="R656" t="s">
        <v>942</v>
      </c>
    </row>
    <row r="657" spans="1:18" x14ac:dyDescent="0.25">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v>827</v>
      </c>
      <c r="R657" t="s">
        <v>941</v>
      </c>
    </row>
    <row r="658" spans="1:18" x14ac:dyDescent="0.25">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943</v>
      </c>
    </row>
    <row r="659" spans="1:18" x14ac:dyDescent="0.25">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v>3954</v>
      </c>
      <c r="R659" t="s">
        <v>939</v>
      </c>
    </row>
    <row r="660" spans="1:18" x14ac:dyDescent="0.25">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v>750</v>
      </c>
      <c r="R660" t="s">
        <v>943</v>
      </c>
    </row>
    <row r="661" spans="1:18" x14ac:dyDescent="0.25">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v>1500</v>
      </c>
      <c r="R661" t="s">
        <v>943</v>
      </c>
    </row>
    <row r="662" spans="1:18" x14ac:dyDescent="0.25">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v>9885</v>
      </c>
      <c r="R662" t="s">
        <v>943</v>
      </c>
    </row>
    <row r="663" spans="1:18" x14ac:dyDescent="0.25">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v>4135</v>
      </c>
      <c r="R663" t="s">
        <v>939</v>
      </c>
    </row>
    <row r="664" spans="1:18" x14ac:dyDescent="0.25">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v>3970</v>
      </c>
      <c r="R664" t="s">
        <v>938</v>
      </c>
    </row>
    <row r="665" spans="1:18" x14ac:dyDescent="0.25">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v>3176</v>
      </c>
      <c r="R665" t="s">
        <v>942</v>
      </c>
    </row>
    <row r="666" spans="1:18" x14ac:dyDescent="0.25">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v>1588</v>
      </c>
      <c r="R666" t="s">
        <v>937</v>
      </c>
    </row>
    <row r="667" spans="1:18" x14ac:dyDescent="0.25">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v>3176</v>
      </c>
      <c r="R667" t="s">
        <v>938</v>
      </c>
    </row>
    <row r="668" spans="1:18" x14ac:dyDescent="0.25">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v>750</v>
      </c>
      <c r="R668" t="s">
        <v>939</v>
      </c>
    </row>
    <row r="669" spans="1:18" x14ac:dyDescent="0.25">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v>433</v>
      </c>
      <c r="R669" t="s">
        <v>943</v>
      </c>
    </row>
    <row r="670" spans="1:18" x14ac:dyDescent="0.25">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v>3750</v>
      </c>
      <c r="R670" t="s">
        <v>940</v>
      </c>
    </row>
    <row r="671" spans="1:18" x14ac:dyDescent="0.25">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v>4796</v>
      </c>
      <c r="R671" t="s">
        <v>941</v>
      </c>
    </row>
    <row r="672" spans="1:18" x14ac:dyDescent="0.25">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939</v>
      </c>
    </row>
    <row r="673" spans="1:18" x14ac:dyDescent="0.25">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v>3000</v>
      </c>
      <c r="R673" t="s">
        <v>939</v>
      </c>
    </row>
    <row r="674" spans="1:18" x14ac:dyDescent="0.25">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v>3000</v>
      </c>
      <c r="R674" t="s">
        <v>943</v>
      </c>
    </row>
    <row r="675" spans="1:18" x14ac:dyDescent="0.25">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v>2382</v>
      </c>
      <c r="R675" t="s">
        <v>943</v>
      </c>
    </row>
    <row r="676" spans="1:18" x14ac:dyDescent="0.25">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v>1299</v>
      </c>
      <c r="R676" t="s">
        <v>940</v>
      </c>
    </row>
    <row r="677" spans="1:18" x14ac:dyDescent="0.25">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v>3597</v>
      </c>
      <c r="R677" t="s">
        <v>939</v>
      </c>
    </row>
    <row r="678" spans="1:18" x14ac:dyDescent="0.25">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v>2250</v>
      </c>
      <c r="R678" t="s">
        <v>943</v>
      </c>
    </row>
    <row r="679" spans="1:18" x14ac:dyDescent="0.25">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v>794</v>
      </c>
      <c r="R679" t="s">
        <v>941</v>
      </c>
    </row>
    <row r="680" spans="1:18" x14ac:dyDescent="0.25">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v>2888</v>
      </c>
      <c r="R680" t="s">
        <v>938</v>
      </c>
    </row>
    <row r="681" spans="1:18" x14ac:dyDescent="0.25">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v>6556</v>
      </c>
      <c r="R681" t="s">
        <v>942</v>
      </c>
    </row>
    <row r="682" spans="1:18" x14ac:dyDescent="0.25">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v>5232</v>
      </c>
      <c r="R682" t="s">
        <v>942</v>
      </c>
    </row>
    <row r="683" spans="1:18" x14ac:dyDescent="0.25">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v>5232</v>
      </c>
      <c r="R683" t="s">
        <v>939</v>
      </c>
    </row>
    <row r="684" spans="1:18" x14ac:dyDescent="0.25">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v>5232</v>
      </c>
      <c r="R684" t="s">
        <v>940</v>
      </c>
    </row>
    <row r="685" spans="1:18" x14ac:dyDescent="0.25">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v>5420</v>
      </c>
      <c r="R685" t="s">
        <v>941</v>
      </c>
    </row>
    <row r="686" spans="1:18" x14ac:dyDescent="0.25">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v>5412</v>
      </c>
      <c r="R686" t="s">
        <v>940</v>
      </c>
    </row>
    <row r="687" spans="1:18" x14ac:dyDescent="0.25">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v>3790</v>
      </c>
      <c r="R687" t="s">
        <v>943</v>
      </c>
    </row>
    <row r="688" spans="1:18" x14ac:dyDescent="0.25">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v>1548</v>
      </c>
      <c r="R688" t="s">
        <v>941</v>
      </c>
    </row>
    <row r="689" spans="1:18" x14ac:dyDescent="0.25">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v>1548</v>
      </c>
      <c r="R689" t="s">
        <v>938</v>
      </c>
    </row>
    <row r="690" spans="1:18" x14ac:dyDescent="0.25">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942</v>
      </c>
    </row>
    <row r="691" spans="1:18" x14ac:dyDescent="0.25">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v>3252</v>
      </c>
      <c r="R691" t="s">
        <v>939</v>
      </c>
    </row>
    <row r="692" spans="1:18" x14ac:dyDescent="0.25">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v>5420</v>
      </c>
      <c r="R692" t="s">
        <v>938</v>
      </c>
    </row>
    <row r="693" spans="1:18" x14ac:dyDescent="0.25">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v>4332</v>
      </c>
      <c r="R693" t="s">
        <v>939</v>
      </c>
    </row>
    <row r="694" spans="1:18" x14ac:dyDescent="0.25">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v>1804</v>
      </c>
      <c r="R694" t="s">
        <v>939</v>
      </c>
    </row>
    <row r="695" spans="1:18" x14ac:dyDescent="0.25">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v>8195</v>
      </c>
      <c r="R695" t="s">
        <v>941</v>
      </c>
    </row>
    <row r="696" spans="1:18" x14ac:dyDescent="0.25">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v>9020</v>
      </c>
      <c r="R696" t="s">
        <v>940</v>
      </c>
    </row>
    <row r="697" spans="1:18" x14ac:dyDescent="0.25">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v>7216</v>
      </c>
      <c r="R697" t="s">
        <v>942</v>
      </c>
    </row>
    <row r="698" spans="1:18" x14ac:dyDescent="0.25">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v>9675</v>
      </c>
      <c r="R698" t="s">
        <v>939</v>
      </c>
    </row>
    <row r="699" spans="1:18" x14ac:dyDescent="0.25">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v>3870</v>
      </c>
      <c r="R699" t="s">
        <v>942</v>
      </c>
    </row>
    <row r="700" spans="1:18" x14ac:dyDescent="0.25">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v>7740</v>
      </c>
      <c r="R700" t="s">
        <v>941</v>
      </c>
    </row>
    <row r="701" spans="1:18" x14ac:dyDescent="0.25">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v>774</v>
      </c>
      <c r="R701" t="s">
        <v>937</v>
      </c>
    </row>
    <row r="702" spans="1:18" x14ac:dyDescent="0.25">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v>1084</v>
      </c>
      <c r="R702" t="s">
        <v>940</v>
      </c>
    </row>
    <row r="703" spans="1:18" x14ac:dyDescent="0.25">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v>1935</v>
      </c>
      <c r="R703" t="s">
        <v>941</v>
      </c>
    </row>
    <row r="704" spans="1:18" x14ac:dyDescent="0.25">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v>3790</v>
      </c>
      <c r="R704" t="s">
        <v>938</v>
      </c>
    </row>
    <row r="705" spans="1:18" x14ac:dyDescent="0.25">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v>5776</v>
      </c>
      <c r="R705" t="s">
        <v>940</v>
      </c>
    </row>
    <row r="706" spans="1:18" x14ac:dyDescent="0.25">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v>3870</v>
      </c>
      <c r="R706" t="s">
        <v>940</v>
      </c>
    </row>
    <row r="707" spans="1:18" x14ac:dyDescent="0.25">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v>6556</v>
      </c>
      <c r="R707" t="s">
        <v>939</v>
      </c>
    </row>
    <row r="708" spans="1:18" x14ac:dyDescent="0.25">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v>7740</v>
      </c>
      <c r="R708" t="s">
        <v>938</v>
      </c>
    </row>
    <row r="709" spans="1:18" x14ac:dyDescent="0.25">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v>1935</v>
      </c>
      <c r="R709" t="s">
        <v>937</v>
      </c>
    </row>
    <row r="710" spans="1:18" x14ac:dyDescent="0.25">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v>3870</v>
      </c>
      <c r="R710" t="s">
        <v>939</v>
      </c>
    </row>
    <row r="711" spans="1:18" x14ac:dyDescent="0.25">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v>8195</v>
      </c>
      <c r="R711" t="s">
        <v>937</v>
      </c>
    </row>
    <row r="712" spans="1:18" x14ac:dyDescent="0.25">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v>2888</v>
      </c>
      <c r="R712" t="s">
        <v>942</v>
      </c>
    </row>
    <row r="713" spans="1:18" x14ac:dyDescent="0.25">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v>6976</v>
      </c>
      <c r="R713" t="s">
        <v>939</v>
      </c>
    </row>
    <row r="714" spans="1:18" x14ac:dyDescent="0.25">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939</v>
      </c>
    </row>
    <row r="715" spans="1:18" x14ac:dyDescent="0.25">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v>1084</v>
      </c>
      <c r="R715" t="s">
        <v>943</v>
      </c>
    </row>
    <row r="716" spans="1:18" x14ac:dyDescent="0.25">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v>8195</v>
      </c>
      <c r="R716" t="s">
        <v>937</v>
      </c>
    </row>
    <row r="717" spans="1:18" x14ac:dyDescent="0.25">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v>3278</v>
      </c>
      <c r="R717" t="s">
        <v>938</v>
      </c>
    </row>
    <row r="718" spans="1:18" x14ac:dyDescent="0.25">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v>5232</v>
      </c>
      <c r="R718" t="s">
        <v>942</v>
      </c>
    </row>
    <row r="719" spans="1:18" x14ac:dyDescent="0.25">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v>6556</v>
      </c>
      <c r="R719" t="s">
        <v>938</v>
      </c>
    </row>
    <row r="720" spans="1:18" x14ac:dyDescent="0.25">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v>5412</v>
      </c>
      <c r="R720" t="s">
        <v>938</v>
      </c>
    </row>
    <row r="721" spans="1:18" x14ac:dyDescent="0.25">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v>6976</v>
      </c>
      <c r="R721" t="s">
        <v>939</v>
      </c>
    </row>
    <row r="722" spans="1:18" x14ac:dyDescent="0.25">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v>6740</v>
      </c>
      <c r="R722" t="s">
        <v>938</v>
      </c>
    </row>
    <row r="723" spans="1:18" x14ac:dyDescent="0.25">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v>5412</v>
      </c>
      <c r="R723" t="s">
        <v>943</v>
      </c>
    </row>
    <row r="724" spans="1:18" x14ac:dyDescent="0.25">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v>1161</v>
      </c>
      <c r="R724" t="s">
        <v>942</v>
      </c>
    </row>
    <row r="725" spans="1:18" x14ac:dyDescent="0.25">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v>4332</v>
      </c>
      <c r="R725" t="s">
        <v>942</v>
      </c>
    </row>
    <row r="726" spans="1:18" x14ac:dyDescent="0.25">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v>1084</v>
      </c>
      <c r="R726" t="s">
        <v>942</v>
      </c>
    </row>
    <row r="727" spans="1:18" x14ac:dyDescent="0.25">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940</v>
      </c>
    </row>
    <row r="728" spans="1:18" x14ac:dyDescent="0.25">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v>3278</v>
      </c>
      <c r="R728" t="s">
        <v>937</v>
      </c>
    </row>
    <row r="729" spans="1:18" x14ac:dyDescent="0.25">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v>7216</v>
      </c>
      <c r="R729" t="s">
        <v>940</v>
      </c>
    </row>
    <row r="730" spans="1:18" x14ac:dyDescent="0.25">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v>9020</v>
      </c>
      <c r="R730" t="s">
        <v>940</v>
      </c>
    </row>
    <row r="731" spans="1:18" x14ac:dyDescent="0.25">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v>1639</v>
      </c>
      <c r="R731" t="s">
        <v>939</v>
      </c>
    </row>
    <row r="732" spans="1:18" x14ac:dyDescent="0.25">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v>7740</v>
      </c>
      <c r="R732" t="s">
        <v>939</v>
      </c>
    </row>
    <row r="733" spans="1:18" x14ac:dyDescent="0.25">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v>9475</v>
      </c>
      <c r="R733" t="s">
        <v>942</v>
      </c>
    </row>
    <row r="734" spans="1:18" x14ac:dyDescent="0.25">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v>2696</v>
      </c>
      <c r="R734" t="s">
        <v>943</v>
      </c>
    </row>
    <row r="735" spans="1:18" x14ac:dyDescent="0.25">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v>8195</v>
      </c>
      <c r="R735" t="s">
        <v>939</v>
      </c>
    </row>
    <row r="736" spans="1:18" x14ac:dyDescent="0.25">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v>1084</v>
      </c>
      <c r="R736" t="s">
        <v>937</v>
      </c>
    </row>
    <row r="737" spans="1:18" x14ac:dyDescent="0.25">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v>3870</v>
      </c>
      <c r="R737" t="s">
        <v>941</v>
      </c>
    </row>
    <row r="738" spans="1:18" x14ac:dyDescent="0.25">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v>4336</v>
      </c>
      <c r="R738" t="s">
        <v>937</v>
      </c>
    </row>
    <row r="739" spans="1:18" x14ac:dyDescent="0.25">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v>7740</v>
      </c>
      <c r="R739" t="s">
        <v>940</v>
      </c>
    </row>
    <row r="740" spans="1:18" x14ac:dyDescent="0.25">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v>1548</v>
      </c>
      <c r="R740" t="s">
        <v>937</v>
      </c>
    </row>
    <row r="741" spans="1:18" x14ac:dyDescent="0.25">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v>9475</v>
      </c>
      <c r="R741" t="s">
        <v>937</v>
      </c>
    </row>
    <row r="742" spans="1:18" x14ac:dyDescent="0.25">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v>6556</v>
      </c>
      <c r="R742" t="s">
        <v>942</v>
      </c>
    </row>
    <row r="743" spans="1:18" x14ac:dyDescent="0.25">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v>2168</v>
      </c>
      <c r="R743" t="s">
        <v>937</v>
      </c>
    </row>
    <row r="744" spans="1:18" x14ac:dyDescent="0.25">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v>6976</v>
      </c>
      <c r="R744" t="s">
        <v>942</v>
      </c>
    </row>
    <row r="745" spans="1:18" x14ac:dyDescent="0.25">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v>1084</v>
      </c>
      <c r="R745" t="s">
        <v>941</v>
      </c>
    </row>
    <row r="746" spans="1:18" x14ac:dyDescent="0.25">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v>3252</v>
      </c>
      <c r="R746" t="s">
        <v>940</v>
      </c>
    </row>
    <row r="747" spans="1:18" x14ac:dyDescent="0.25">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v>3488</v>
      </c>
      <c r="R747" t="s">
        <v>942</v>
      </c>
    </row>
    <row r="748" spans="1:18" x14ac:dyDescent="0.25">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v>3252</v>
      </c>
      <c r="R748" t="s">
        <v>943</v>
      </c>
    </row>
    <row r="749" spans="1:18" x14ac:dyDescent="0.25">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v>1348</v>
      </c>
      <c r="R749" t="s">
        <v>940</v>
      </c>
    </row>
    <row r="750" spans="1:18" x14ac:dyDescent="0.25">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v>2696</v>
      </c>
      <c r="R750" t="s">
        <v>939</v>
      </c>
    </row>
    <row r="751" spans="1:18" x14ac:dyDescent="0.25">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v>6556</v>
      </c>
      <c r="R751" t="s">
        <v>941</v>
      </c>
    </row>
    <row r="752" spans="1:18" x14ac:dyDescent="0.25">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v>1804</v>
      </c>
      <c r="R752" t="s">
        <v>940</v>
      </c>
    </row>
    <row r="753" spans="1:18" x14ac:dyDescent="0.25">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v>2696</v>
      </c>
      <c r="R753" t="s">
        <v>940</v>
      </c>
    </row>
    <row r="754" spans="1:18" x14ac:dyDescent="0.25">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v>1084</v>
      </c>
      <c r="R754" t="s">
        <v>937</v>
      </c>
    </row>
    <row r="755" spans="1:18" x14ac:dyDescent="0.25">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v>1161</v>
      </c>
      <c r="R755" t="s">
        <v>941</v>
      </c>
    </row>
    <row r="756" spans="1:18" x14ac:dyDescent="0.25">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v>7216</v>
      </c>
      <c r="R756" t="s">
        <v>943</v>
      </c>
    </row>
    <row r="757" spans="1:18" x14ac:dyDescent="0.25">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v>5685</v>
      </c>
      <c r="R757" t="s">
        <v>938</v>
      </c>
    </row>
    <row r="758" spans="1:18" x14ac:dyDescent="0.25">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v>3488</v>
      </c>
      <c r="R758" t="s">
        <v>941</v>
      </c>
    </row>
    <row r="759" spans="1:18" x14ac:dyDescent="0.25">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v>9575</v>
      </c>
      <c r="R759" t="s">
        <v>941</v>
      </c>
    </row>
    <row r="760" spans="1:18" x14ac:dyDescent="0.25">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v>1915</v>
      </c>
      <c r="R760" t="s">
        <v>941</v>
      </c>
    </row>
    <row r="761" spans="1:18" x14ac:dyDescent="0.25">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v>1444</v>
      </c>
      <c r="R761" t="s">
        <v>941</v>
      </c>
    </row>
    <row r="762" spans="1:18" x14ac:dyDescent="0.25">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v>1295</v>
      </c>
      <c r="R762" t="s">
        <v>939</v>
      </c>
    </row>
    <row r="763" spans="1:18" x14ac:dyDescent="0.25">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v>518</v>
      </c>
      <c r="R763" t="s">
        <v>943</v>
      </c>
    </row>
    <row r="764" spans="1:18" x14ac:dyDescent="0.25">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v>1686</v>
      </c>
      <c r="R764" t="s">
        <v>938</v>
      </c>
    </row>
    <row r="765" spans="1:18" x14ac:dyDescent="0.25">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v>203</v>
      </c>
      <c r="R765" t="s">
        <v>939</v>
      </c>
    </row>
    <row r="766" spans="1:18" x14ac:dyDescent="0.25">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v>3905</v>
      </c>
      <c r="R766" t="s">
        <v>941</v>
      </c>
    </row>
    <row r="767" spans="1:18" x14ac:dyDescent="0.25">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v>2140</v>
      </c>
      <c r="R767" t="s">
        <v>941</v>
      </c>
    </row>
    <row r="768" spans="1:18" x14ac:dyDescent="0.25">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941</v>
      </c>
    </row>
    <row r="769" spans="1:18" x14ac:dyDescent="0.25">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v>3464</v>
      </c>
      <c r="R769" t="s">
        <v>941</v>
      </c>
    </row>
    <row r="770" spans="1:18" x14ac:dyDescent="0.25">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v>777</v>
      </c>
      <c r="R770" t="s">
        <v>937</v>
      </c>
    </row>
    <row r="771" spans="1:18" x14ac:dyDescent="0.25">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v>1582</v>
      </c>
      <c r="R771" t="s">
        <v>939</v>
      </c>
    </row>
    <row r="772" spans="1:18" x14ac:dyDescent="0.25">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v>2675</v>
      </c>
      <c r="R772" t="s">
        <v>942</v>
      </c>
    </row>
    <row r="773" spans="1:18" x14ac:dyDescent="0.25">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v>562</v>
      </c>
      <c r="R773" t="s">
        <v>940</v>
      </c>
    </row>
    <row r="774" spans="1:18" x14ac:dyDescent="0.25">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v>1295</v>
      </c>
      <c r="R774" t="s">
        <v>937</v>
      </c>
    </row>
    <row r="775" spans="1:18" x14ac:dyDescent="0.25">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v>1605</v>
      </c>
      <c r="R775" t="s">
        <v>942</v>
      </c>
    </row>
    <row r="776" spans="1:18" x14ac:dyDescent="0.25">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v>609</v>
      </c>
      <c r="R776" t="s">
        <v>939</v>
      </c>
    </row>
    <row r="777" spans="1:18" x14ac:dyDescent="0.25">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v>9575</v>
      </c>
      <c r="R777" t="s">
        <v>942</v>
      </c>
    </row>
    <row r="778" spans="1:18" x14ac:dyDescent="0.25">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v>781</v>
      </c>
      <c r="R778" t="s">
        <v>940</v>
      </c>
    </row>
    <row r="779" spans="1:18" x14ac:dyDescent="0.25">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v>1605</v>
      </c>
      <c r="R779" t="s">
        <v>943</v>
      </c>
    </row>
    <row r="780" spans="1:18" x14ac:dyDescent="0.25">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v>1015</v>
      </c>
      <c r="R780" t="s">
        <v>943</v>
      </c>
    </row>
    <row r="781" spans="1:18" x14ac:dyDescent="0.25">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v>1036</v>
      </c>
      <c r="R781" t="s">
        <v>941</v>
      </c>
    </row>
    <row r="782" spans="1:18" x14ac:dyDescent="0.25">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v>3905</v>
      </c>
      <c r="R782" t="s">
        <v>940</v>
      </c>
    </row>
    <row r="783" spans="1:18" x14ac:dyDescent="0.25">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v>1732</v>
      </c>
      <c r="R783" t="s">
        <v>943</v>
      </c>
    </row>
    <row r="784" spans="1:18" x14ac:dyDescent="0.25">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v>7168</v>
      </c>
      <c r="R784" t="s">
        <v>940</v>
      </c>
    </row>
    <row r="785" spans="1:18" x14ac:dyDescent="0.25">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v>3830</v>
      </c>
      <c r="R785" t="s">
        <v>939</v>
      </c>
    </row>
    <row r="786" spans="1:18" x14ac:dyDescent="0.25">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v>2140</v>
      </c>
      <c r="R786" t="s">
        <v>941</v>
      </c>
    </row>
    <row r="787" spans="1:18" x14ac:dyDescent="0.25">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v>3830</v>
      </c>
      <c r="R787" t="s">
        <v>940</v>
      </c>
    </row>
    <row r="788" spans="1:18" x14ac:dyDescent="0.25">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v>1444</v>
      </c>
      <c r="R788" t="s">
        <v>938</v>
      </c>
    </row>
    <row r="789" spans="1:18" x14ac:dyDescent="0.25">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v>203</v>
      </c>
      <c r="R789" t="s">
        <v>939</v>
      </c>
    </row>
    <row r="790" spans="1:18" x14ac:dyDescent="0.25">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v>203</v>
      </c>
      <c r="R790" t="s">
        <v>938</v>
      </c>
    </row>
    <row r="791" spans="1:18" x14ac:dyDescent="0.25">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939</v>
      </c>
    </row>
    <row r="792" spans="1:18" x14ac:dyDescent="0.25">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v>781</v>
      </c>
      <c r="R792" t="s">
        <v>941</v>
      </c>
    </row>
    <row r="793" spans="1:18" x14ac:dyDescent="0.25">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v>4330</v>
      </c>
      <c r="R793" t="s">
        <v>937</v>
      </c>
    </row>
    <row r="794" spans="1:18" x14ac:dyDescent="0.25">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v>1605</v>
      </c>
      <c r="R794" t="s">
        <v>942</v>
      </c>
    </row>
    <row r="795" spans="1:18" x14ac:dyDescent="0.25">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v>1686</v>
      </c>
      <c r="R795" t="s">
        <v>939</v>
      </c>
    </row>
    <row r="796" spans="1:18" x14ac:dyDescent="0.25">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v>2888</v>
      </c>
      <c r="R796" t="s">
        <v>939</v>
      </c>
    </row>
    <row r="797" spans="1:18" x14ac:dyDescent="0.25">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v>259</v>
      </c>
      <c r="R797" t="s">
        <v>940</v>
      </c>
    </row>
    <row r="798" spans="1:18" x14ac:dyDescent="0.25">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v>1915</v>
      </c>
      <c r="R798" t="s">
        <v>937</v>
      </c>
    </row>
    <row r="799" spans="1:18" x14ac:dyDescent="0.25">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v>518</v>
      </c>
      <c r="R799" t="s">
        <v>940</v>
      </c>
    </row>
    <row r="800" spans="1:18" x14ac:dyDescent="0.25">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v>535</v>
      </c>
      <c r="R800" t="s">
        <v>937</v>
      </c>
    </row>
    <row r="801" spans="1:18" x14ac:dyDescent="0.25">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v>2166</v>
      </c>
      <c r="R801" t="s">
        <v>940</v>
      </c>
    </row>
    <row r="802" spans="1:18" x14ac:dyDescent="0.25">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v>1582</v>
      </c>
      <c r="R802" t="s">
        <v>939</v>
      </c>
    </row>
    <row r="803" spans="1:18" x14ac:dyDescent="0.25">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v>535</v>
      </c>
      <c r="R803" t="s">
        <v>940</v>
      </c>
    </row>
    <row r="804" spans="1:18" x14ac:dyDescent="0.25">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v>7660</v>
      </c>
      <c r="R804" t="s">
        <v>943</v>
      </c>
    </row>
    <row r="805" spans="1:18" x14ac:dyDescent="0.25">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v>518</v>
      </c>
      <c r="R805" t="s">
        <v>938</v>
      </c>
    </row>
    <row r="806" spans="1:18" x14ac:dyDescent="0.25">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v>2598</v>
      </c>
      <c r="R806" t="s">
        <v>940</v>
      </c>
    </row>
    <row r="807" spans="1:18" x14ac:dyDescent="0.25">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v>3584</v>
      </c>
      <c r="R807" t="s">
        <v>938</v>
      </c>
    </row>
    <row r="808" spans="1:18" x14ac:dyDescent="0.25">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v>2343</v>
      </c>
      <c r="R808" t="s">
        <v>940</v>
      </c>
    </row>
    <row r="809" spans="1:18" x14ac:dyDescent="0.25">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v>2343</v>
      </c>
      <c r="R809" t="s">
        <v>938</v>
      </c>
    </row>
    <row r="810" spans="1:18" x14ac:dyDescent="0.25">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v>535</v>
      </c>
      <c r="R810" t="s">
        <v>942</v>
      </c>
    </row>
    <row r="811" spans="1:18" x14ac:dyDescent="0.25">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v>2166</v>
      </c>
      <c r="R811" t="s">
        <v>939</v>
      </c>
    </row>
    <row r="812" spans="1:18" x14ac:dyDescent="0.25">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v>535</v>
      </c>
      <c r="R812" t="s">
        <v>940</v>
      </c>
    </row>
    <row r="813" spans="1:18" x14ac:dyDescent="0.25">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v>9575</v>
      </c>
      <c r="R813" t="s">
        <v>937</v>
      </c>
    </row>
    <row r="814" spans="1:18" x14ac:dyDescent="0.25">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v>2166</v>
      </c>
      <c r="R814" t="s">
        <v>940</v>
      </c>
    </row>
    <row r="815" spans="1:18" x14ac:dyDescent="0.25">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v>9575</v>
      </c>
      <c r="R815" t="s">
        <v>939</v>
      </c>
    </row>
    <row r="816" spans="1:18" x14ac:dyDescent="0.25">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v>5745</v>
      </c>
      <c r="R816" t="s">
        <v>942</v>
      </c>
    </row>
    <row r="817" spans="1:18" x14ac:dyDescent="0.25">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v>2675</v>
      </c>
      <c r="R817" t="s">
        <v>943</v>
      </c>
    </row>
    <row r="818" spans="1:18" x14ac:dyDescent="0.25">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v>722</v>
      </c>
      <c r="R818" t="s">
        <v>942</v>
      </c>
    </row>
    <row r="819" spans="1:18" x14ac:dyDescent="0.25">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v>259</v>
      </c>
      <c r="R819" t="s">
        <v>943</v>
      </c>
    </row>
    <row r="820" spans="1:18" x14ac:dyDescent="0.25">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v>3124</v>
      </c>
      <c r="R820" t="s">
        <v>941</v>
      </c>
    </row>
    <row r="821" spans="1:18" x14ac:dyDescent="0.25">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v>2140</v>
      </c>
      <c r="R821" t="s">
        <v>939</v>
      </c>
    </row>
    <row r="822" spans="1:18" x14ac:dyDescent="0.25">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v>1562</v>
      </c>
      <c r="R822" t="s">
        <v>940</v>
      </c>
    </row>
    <row r="823" spans="1:18" x14ac:dyDescent="0.25">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v>1444</v>
      </c>
      <c r="R823" t="s">
        <v>943</v>
      </c>
    </row>
    <row r="824" spans="1:18" x14ac:dyDescent="0.25">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v>7168</v>
      </c>
      <c r="R824" t="s">
        <v>943</v>
      </c>
    </row>
    <row r="825" spans="1:18" x14ac:dyDescent="0.25">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v>4746</v>
      </c>
      <c r="R825" t="s">
        <v>940</v>
      </c>
    </row>
    <row r="826" spans="1:18" x14ac:dyDescent="0.25">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v>535</v>
      </c>
      <c r="R826" t="s">
        <v>939</v>
      </c>
    </row>
    <row r="827" spans="1:18" x14ac:dyDescent="0.25">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v>2810</v>
      </c>
      <c r="R827" t="s">
        <v>937</v>
      </c>
    </row>
    <row r="828" spans="1:18" x14ac:dyDescent="0.25">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v>1070</v>
      </c>
      <c r="R828" t="s">
        <v>938</v>
      </c>
    </row>
    <row r="829" spans="1:18" x14ac:dyDescent="0.25">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v>2598</v>
      </c>
      <c r="R829" t="s">
        <v>940</v>
      </c>
    </row>
    <row r="830" spans="1:18" x14ac:dyDescent="0.25">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v>2248</v>
      </c>
      <c r="R830" t="s">
        <v>939</v>
      </c>
    </row>
    <row r="831" spans="1:18" x14ac:dyDescent="0.25">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v>4746</v>
      </c>
      <c r="R831" t="s">
        <v>938</v>
      </c>
    </row>
    <row r="832" spans="1:18" x14ac:dyDescent="0.25">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v>5376</v>
      </c>
      <c r="R832" t="s">
        <v>937</v>
      </c>
    </row>
    <row r="833" spans="1:18" x14ac:dyDescent="0.25">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v>4330</v>
      </c>
      <c r="R833" t="s">
        <v>942</v>
      </c>
    </row>
    <row r="834" spans="1:18" x14ac:dyDescent="0.25">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v>2675</v>
      </c>
      <c r="R834" t="s">
        <v>941</v>
      </c>
    </row>
    <row r="835" spans="1:18" x14ac:dyDescent="0.25">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v>2888</v>
      </c>
      <c r="R835" t="s">
        <v>939</v>
      </c>
    </row>
    <row r="836" spans="1:18" x14ac:dyDescent="0.25">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v>781</v>
      </c>
      <c r="R836" t="s">
        <v>942</v>
      </c>
    </row>
    <row r="837" spans="1:18" x14ac:dyDescent="0.25">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v>2675</v>
      </c>
      <c r="R837" t="s">
        <v>942</v>
      </c>
    </row>
    <row r="838" spans="1:18" x14ac:dyDescent="0.25">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v>8960</v>
      </c>
      <c r="R838" t="s">
        <v>940</v>
      </c>
    </row>
    <row r="839" spans="1:18" x14ac:dyDescent="0.25">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v>2675</v>
      </c>
      <c r="R839" t="s">
        <v>937</v>
      </c>
    </row>
    <row r="840" spans="1:18" x14ac:dyDescent="0.25">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v>1605</v>
      </c>
      <c r="R840" t="s">
        <v>940</v>
      </c>
    </row>
    <row r="841" spans="1:18" x14ac:dyDescent="0.25">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v>1605</v>
      </c>
      <c r="R841" t="s">
        <v>939</v>
      </c>
    </row>
    <row r="842" spans="1:18" x14ac:dyDescent="0.25">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v>9575</v>
      </c>
      <c r="R842" t="s">
        <v>938</v>
      </c>
    </row>
    <row r="843" spans="1:18" x14ac:dyDescent="0.25">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v>7168</v>
      </c>
      <c r="R843" t="s">
        <v>943</v>
      </c>
    </row>
    <row r="844" spans="1:18" x14ac:dyDescent="0.25">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v>3584</v>
      </c>
      <c r="R844" t="s">
        <v>938</v>
      </c>
    </row>
    <row r="845" spans="1:18" x14ac:dyDescent="0.25">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v>9575</v>
      </c>
      <c r="R845" t="s">
        <v>942</v>
      </c>
    </row>
    <row r="846" spans="1:18" x14ac:dyDescent="0.25">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v>7910</v>
      </c>
      <c r="R846" t="s">
        <v>942</v>
      </c>
    </row>
    <row r="847" spans="1:18" x14ac:dyDescent="0.25">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v>1915</v>
      </c>
      <c r="R847" t="s">
        <v>942</v>
      </c>
    </row>
    <row r="848" spans="1:18" x14ac:dyDescent="0.25">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v>812</v>
      </c>
      <c r="R848" t="s">
        <v>940</v>
      </c>
    </row>
    <row r="849" spans="1:18" x14ac:dyDescent="0.25">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v>4746</v>
      </c>
      <c r="R849" t="s">
        <v>939</v>
      </c>
    </row>
    <row r="850" spans="1:18" x14ac:dyDescent="0.25">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v>722</v>
      </c>
      <c r="R850" t="s">
        <v>943</v>
      </c>
    </row>
    <row r="851" spans="1:18" x14ac:dyDescent="0.25">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v>1915</v>
      </c>
      <c r="R851" t="s">
        <v>941</v>
      </c>
    </row>
    <row r="852" spans="1:18" x14ac:dyDescent="0.25">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v>6328</v>
      </c>
      <c r="R852" t="s">
        <v>938</v>
      </c>
    </row>
    <row r="853" spans="1:18" x14ac:dyDescent="0.25">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v>3124</v>
      </c>
      <c r="R853" t="s">
        <v>939</v>
      </c>
    </row>
    <row r="854" spans="1:18" x14ac:dyDescent="0.25">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940</v>
      </c>
    </row>
    <row r="855" spans="1:18" x14ac:dyDescent="0.25">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v>1686</v>
      </c>
      <c r="R855" t="s">
        <v>939</v>
      </c>
    </row>
    <row r="856" spans="1:18" x14ac:dyDescent="0.25">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v>2140</v>
      </c>
      <c r="R856" t="s">
        <v>937</v>
      </c>
    </row>
    <row r="857" spans="1:18" x14ac:dyDescent="0.25">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v>7168</v>
      </c>
      <c r="R857" t="s">
        <v>943</v>
      </c>
    </row>
    <row r="858" spans="1:18" x14ac:dyDescent="0.25">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v>3164</v>
      </c>
      <c r="R858" t="s">
        <v>943</v>
      </c>
    </row>
    <row r="859" spans="1:18" x14ac:dyDescent="0.25">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v>6870</v>
      </c>
      <c r="R859" t="s">
        <v>939</v>
      </c>
    </row>
    <row r="860" spans="1:18" x14ac:dyDescent="0.25">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v>756</v>
      </c>
      <c r="R860" t="s">
        <v>937</v>
      </c>
    </row>
    <row r="861" spans="1:18" x14ac:dyDescent="0.25">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v>2016</v>
      </c>
      <c r="R861" t="s">
        <v>939</v>
      </c>
    </row>
    <row r="862" spans="1:18" x14ac:dyDescent="0.25">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v>2688</v>
      </c>
      <c r="R862" t="s">
        <v>937</v>
      </c>
    </row>
    <row r="863" spans="1:18" x14ac:dyDescent="0.25">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v>3798</v>
      </c>
      <c r="R863" t="s">
        <v>940</v>
      </c>
    </row>
    <row r="864" spans="1:18" x14ac:dyDescent="0.25">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v>1899</v>
      </c>
      <c r="R864" t="s">
        <v>943</v>
      </c>
    </row>
    <row r="865" spans="1:18" x14ac:dyDescent="0.25">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v>4392</v>
      </c>
      <c r="R865" t="s">
        <v>940</v>
      </c>
    </row>
    <row r="866" spans="1:18" x14ac:dyDescent="0.25">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v>4392</v>
      </c>
      <c r="R866" t="s">
        <v>939</v>
      </c>
    </row>
    <row r="867" spans="1:18" x14ac:dyDescent="0.25">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v>2253</v>
      </c>
      <c r="R867" t="s">
        <v>939</v>
      </c>
    </row>
    <row r="868" spans="1:18" x14ac:dyDescent="0.25">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v>751</v>
      </c>
      <c r="R868" t="s">
        <v>943</v>
      </c>
    </row>
    <row r="869" spans="1:18" x14ac:dyDescent="0.25">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v>1202</v>
      </c>
      <c r="R869" t="s">
        <v>941</v>
      </c>
    </row>
    <row r="870" spans="1:18" x14ac:dyDescent="0.25">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v>4944</v>
      </c>
      <c r="R870" t="s">
        <v>943</v>
      </c>
    </row>
    <row r="871" spans="1:18" x14ac:dyDescent="0.25">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v>2472</v>
      </c>
      <c r="R871" t="s">
        <v>939</v>
      </c>
    </row>
    <row r="872" spans="1:18" x14ac:dyDescent="0.25">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v>4050</v>
      </c>
      <c r="R872" t="s">
        <v>939</v>
      </c>
    </row>
    <row r="873" spans="1:18" x14ac:dyDescent="0.25">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v>3846</v>
      </c>
      <c r="R873" t="s">
        <v>943</v>
      </c>
    </row>
    <row r="874" spans="1:18" x14ac:dyDescent="0.25">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v>5952</v>
      </c>
      <c r="R874" t="s">
        <v>939</v>
      </c>
    </row>
    <row r="875" spans="1:18" x14ac:dyDescent="0.25">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v>252</v>
      </c>
      <c r="R875" t="s">
        <v>941</v>
      </c>
    </row>
    <row r="876" spans="1:18" x14ac:dyDescent="0.25">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v>756</v>
      </c>
      <c r="R876" t="s">
        <v>938</v>
      </c>
    </row>
    <row r="877" spans="1:18" x14ac:dyDescent="0.25">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v>810</v>
      </c>
      <c r="R877" t="s">
        <v>941</v>
      </c>
    </row>
    <row r="878" spans="1:18" x14ac:dyDescent="0.25">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v>5496</v>
      </c>
      <c r="R878" t="s">
        <v>939</v>
      </c>
    </row>
    <row r="879" spans="1:18" x14ac:dyDescent="0.25">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v>1502</v>
      </c>
      <c r="R879" t="s">
        <v>938</v>
      </c>
    </row>
    <row r="880" spans="1:18" x14ac:dyDescent="0.25">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v>1272</v>
      </c>
      <c r="R880" t="s">
        <v>942</v>
      </c>
    </row>
    <row r="881" spans="1:18" x14ac:dyDescent="0.25">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v>4944</v>
      </c>
      <c r="R881" t="s">
        <v>943</v>
      </c>
    </row>
    <row r="882" spans="1:18" x14ac:dyDescent="0.25">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v>2196</v>
      </c>
      <c r="R882" t="s">
        <v>941</v>
      </c>
    </row>
    <row r="883" spans="1:18" x14ac:dyDescent="0.25">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v>3294</v>
      </c>
      <c r="R883" t="s">
        <v>941</v>
      </c>
    </row>
    <row r="884" spans="1:18" x14ac:dyDescent="0.25">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v>3708</v>
      </c>
      <c r="R884" t="s">
        <v>939</v>
      </c>
    </row>
    <row r="885" spans="1:18" x14ac:dyDescent="0.25">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v>810</v>
      </c>
      <c r="R885" t="s">
        <v>942</v>
      </c>
    </row>
    <row r="886" spans="1:18" x14ac:dyDescent="0.25">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v>6870</v>
      </c>
      <c r="R886" t="s">
        <v>941</v>
      </c>
    </row>
    <row r="887" spans="1:18" x14ac:dyDescent="0.25">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v>5490</v>
      </c>
      <c r="R887" t="s">
        <v>942</v>
      </c>
    </row>
    <row r="888" spans="1:18" x14ac:dyDescent="0.25">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v>3790</v>
      </c>
      <c r="R888" t="s">
        <v>943</v>
      </c>
    </row>
    <row r="889" spans="1:18" x14ac:dyDescent="0.25">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v>1899</v>
      </c>
      <c r="R889" t="s">
        <v>940</v>
      </c>
    </row>
    <row r="890" spans="1:18" x14ac:dyDescent="0.25">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v>1098</v>
      </c>
      <c r="R890" t="s">
        <v>942</v>
      </c>
    </row>
    <row r="891" spans="1:18" x14ac:dyDescent="0.25">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v>5490</v>
      </c>
      <c r="R891" t="s">
        <v>940</v>
      </c>
    </row>
    <row r="892" spans="1:18" x14ac:dyDescent="0.25">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v>1394</v>
      </c>
      <c r="R892" t="s">
        <v>942</v>
      </c>
    </row>
    <row r="893" spans="1:18" x14ac:dyDescent="0.25">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v>4392</v>
      </c>
      <c r="R893" t="s">
        <v>938</v>
      </c>
    </row>
    <row r="894" spans="1:18" x14ac:dyDescent="0.25">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v>3790</v>
      </c>
      <c r="R894" t="s">
        <v>940</v>
      </c>
    </row>
    <row r="895" spans="1:18" x14ac:dyDescent="0.25">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v>672</v>
      </c>
      <c r="R895" t="s">
        <v>937</v>
      </c>
    </row>
    <row r="896" spans="1:18" x14ac:dyDescent="0.25">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v>2976</v>
      </c>
      <c r="R896" t="s">
        <v>940</v>
      </c>
    </row>
    <row r="897" spans="1:18" x14ac:dyDescent="0.25">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v>4464</v>
      </c>
      <c r="R897" t="s">
        <v>943</v>
      </c>
    </row>
    <row r="898" spans="1:18" x14ac:dyDescent="0.25">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v>1236</v>
      </c>
      <c r="R898" t="s">
        <v>938</v>
      </c>
    </row>
    <row r="899" spans="1:18" x14ac:dyDescent="0.25">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v>4808</v>
      </c>
      <c r="R899" t="s">
        <v>942</v>
      </c>
    </row>
    <row r="900" spans="1:18" x14ac:dyDescent="0.25">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v>1502</v>
      </c>
      <c r="R900" t="s">
        <v>937</v>
      </c>
    </row>
    <row r="901" spans="1:18" x14ac:dyDescent="0.25">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v>1488</v>
      </c>
      <c r="R901" t="s">
        <v>942</v>
      </c>
    </row>
    <row r="902" spans="1:18" x14ac:dyDescent="0.25">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v>3294</v>
      </c>
      <c r="R902" t="s">
        <v>941</v>
      </c>
    </row>
    <row r="903" spans="1:18" x14ac:dyDescent="0.25">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v>3485</v>
      </c>
      <c r="R903" t="s">
        <v>942</v>
      </c>
    </row>
    <row r="904" spans="1:18" x14ac:dyDescent="0.25">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v>252</v>
      </c>
      <c r="R904" t="s">
        <v>938</v>
      </c>
    </row>
    <row r="905" spans="1:18" x14ac:dyDescent="0.25">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v>1260</v>
      </c>
      <c r="R905" t="s">
        <v>943</v>
      </c>
    </row>
    <row r="906" spans="1:18" x14ac:dyDescent="0.25">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v>2472</v>
      </c>
      <c r="R906" t="s">
        <v>940</v>
      </c>
    </row>
    <row r="907" spans="1:18" x14ac:dyDescent="0.25">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v>4392</v>
      </c>
      <c r="R907" t="s">
        <v>941</v>
      </c>
    </row>
    <row r="908" spans="1:18" x14ac:dyDescent="0.25">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v>3606</v>
      </c>
      <c r="R908" t="s">
        <v>938</v>
      </c>
    </row>
    <row r="909" spans="1:18" x14ac:dyDescent="0.25">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v>3606</v>
      </c>
      <c r="R909" t="s">
        <v>943</v>
      </c>
    </row>
    <row r="910" spans="1:18" x14ac:dyDescent="0.25">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v>1236</v>
      </c>
      <c r="R910" t="s">
        <v>939</v>
      </c>
    </row>
    <row r="911" spans="1:18" x14ac:dyDescent="0.25">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v>2748</v>
      </c>
      <c r="R911" t="s">
        <v>937</v>
      </c>
    </row>
    <row r="912" spans="1:18" x14ac:dyDescent="0.25">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v>1272</v>
      </c>
      <c r="R912" t="s">
        <v>937</v>
      </c>
    </row>
    <row r="913" spans="1:18" x14ac:dyDescent="0.25">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v>2688</v>
      </c>
      <c r="R913" t="s">
        <v>943</v>
      </c>
    </row>
    <row r="914" spans="1:18" x14ac:dyDescent="0.25">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v>252</v>
      </c>
      <c r="R914" t="s">
        <v>939</v>
      </c>
    </row>
    <row r="915" spans="1:18" x14ac:dyDescent="0.25">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v>2016</v>
      </c>
      <c r="R915" t="s">
        <v>938</v>
      </c>
    </row>
    <row r="916" spans="1:18" x14ac:dyDescent="0.25">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v>3755</v>
      </c>
      <c r="R916" t="s">
        <v>938</v>
      </c>
    </row>
    <row r="917" spans="1:18" x14ac:dyDescent="0.25">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v>2688</v>
      </c>
      <c r="R917" t="s">
        <v>943</v>
      </c>
    </row>
    <row r="918" spans="1:18" x14ac:dyDescent="0.25">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v>1098</v>
      </c>
      <c r="R918" t="s">
        <v>942</v>
      </c>
    </row>
    <row r="919" spans="1:18" x14ac:dyDescent="0.25">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v>2196</v>
      </c>
      <c r="R919" t="s">
        <v>942</v>
      </c>
    </row>
    <row r="920" spans="1:18" x14ac:dyDescent="0.25">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v>1272</v>
      </c>
      <c r="R920" t="s">
        <v>940</v>
      </c>
    </row>
    <row r="921" spans="1:18" x14ac:dyDescent="0.25">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v>1516</v>
      </c>
      <c r="R921" t="s">
        <v>941</v>
      </c>
    </row>
    <row r="922" spans="1:18" x14ac:dyDescent="0.25">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v>3846</v>
      </c>
      <c r="R922" t="s">
        <v>941</v>
      </c>
    </row>
    <row r="923" spans="1:18" x14ac:dyDescent="0.25">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941</v>
      </c>
    </row>
    <row r="924" spans="1:18" x14ac:dyDescent="0.25">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v>751</v>
      </c>
      <c r="R924" t="s">
        <v>942</v>
      </c>
    </row>
    <row r="925" spans="1:18" x14ac:dyDescent="0.25">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v>1620</v>
      </c>
      <c r="R925" t="s">
        <v>943</v>
      </c>
    </row>
    <row r="926" spans="1:18" x14ac:dyDescent="0.25">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v>1516</v>
      </c>
      <c r="R926" t="s">
        <v>937</v>
      </c>
    </row>
    <row r="927" spans="1:18" x14ac:dyDescent="0.25">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v>1202</v>
      </c>
      <c r="R927" t="s">
        <v>939</v>
      </c>
    </row>
    <row r="928" spans="1:18" x14ac:dyDescent="0.25">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v>6180</v>
      </c>
      <c r="R928" t="s">
        <v>939</v>
      </c>
    </row>
    <row r="929" spans="1:18" x14ac:dyDescent="0.25">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v>2253</v>
      </c>
      <c r="R929" t="s">
        <v>940</v>
      </c>
    </row>
    <row r="930" spans="1:18" x14ac:dyDescent="0.25">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v>3755</v>
      </c>
      <c r="R930" t="s">
        <v>937</v>
      </c>
    </row>
    <row r="931" spans="1:18" x14ac:dyDescent="0.25">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v>3606</v>
      </c>
      <c r="R931" t="s">
        <v>937</v>
      </c>
    </row>
    <row r="932" spans="1:18" x14ac:dyDescent="0.25">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v>2091</v>
      </c>
      <c r="R932" t="s">
        <v>939</v>
      </c>
    </row>
    <row r="933" spans="1:18" x14ac:dyDescent="0.25">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v>6180</v>
      </c>
      <c r="R933" t="s">
        <v>939</v>
      </c>
    </row>
    <row r="934" spans="1:18" x14ac:dyDescent="0.25">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v>3755</v>
      </c>
      <c r="R934" t="s">
        <v>942</v>
      </c>
    </row>
    <row r="935" spans="1:18" x14ac:dyDescent="0.25">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v>1374</v>
      </c>
      <c r="R935" t="s">
        <v>938</v>
      </c>
    </row>
    <row r="936" spans="1:18" x14ac:dyDescent="0.25">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v>5088</v>
      </c>
      <c r="R936" t="s">
        <v>938</v>
      </c>
    </row>
    <row r="937" spans="1:18" x14ac:dyDescent="0.25">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938</v>
      </c>
    </row>
    <row r="938" spans="1:18" x14ac:dyDescent="0.25">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v>1923</v>
      </c>
      <c r="R938" t="s">
        <v>939</v>
      </c>
    </row>
    <row r="939" spans="1:18" x14ac:dyDescent="0.25">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v>6010</v>
      </c>
      <c r="R939" t="s">
        <v>940</v>
      </c>
    </row>
    <row r="940" spans="1:18" x14ac:dyDescent="0.25">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v>2788</v>
      </c>
      <c r="R940" t="s">
        <v>937</v>
      </c>
    </row>
    <row r="941" spans="1:18" x14ac:dyDescent="0.25">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v>5088</v>
      </c>
      <c r="R941" t="s">
        <v>941</v>
      </c>
    </row>
    <row r="942" spans="1:18" x14ac:dyDescent="0.25">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v>5769</v>
      </c>
      <c r="R942" t="s">
        <v>937</v>
      </c>
    </row>
    <row r="943" spans="1:18" x14ac:dyDescent="0.25">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v>2196</v>
      </c>
      <c r="R943" t="s">
        <v>943</v>
      </c>
    </row>
    <row r="944" spans="1:18" x14ac:dyDescent="0.25">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v>1394</v>
      </c>
      <c r="R944" t="s">
        <v>939</v>
      </c>
    </row>
    <row r="945" spans="1:18" x14ac:dyDescent="0.25">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v>756</v>
      </c>
      <c r="R945" t="s">
        <v>941</v>
      </c>
    </row>
    <row r="946" spans="1:18" x14ac:dyDescent="0.25">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v>6010</v>
      </c>
      <c r="R946" t="s">
        <v>939</v>
      </c>
    </row>
    <row r="947" spans="1:18" x14ac:dyDescent="0.25">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v>4122</v>
      </c>
      <c r="R947" t="s">
        <v>942</v>
      </c>
    </row>
    <row r="948" spans="1:18" x14ac:dyDescent="0.25">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v>9615</v>
      </c>
      <c r="R948" t="s">
        <v>937</v>
      </c>
    </row>
    <row r="949" spans="1:18" x14ac:dyDescent="0.25">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v>5952</v>
      </c>
      <c r="R949" t="s">
        <v>943</v>
      </c>
    </row>
    <row r="950" spans="1:18" x14ac:dyDescent="0.25">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v>1374</v>
      </c>
      <c r="R950" t="s">
        <v>939</v>
      </c>
    </row>
    <row r="951" spans="1:18" x14ac:dyDescent="0.25">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v>2976</v>
      </c>
      <c r="R951" t="s">
        <v>938</v>
      </c>
    </row>
    <row r="952" spans="1:18" x14ac:dyDescent="0.25">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943</v>
      </c>
    </row>
    <row r="953" spans="1:18" x14ac:dyDescent="0.25">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v>2544</v>
      </c>
      <c r="R953" t="s">
        <v>943</v>
      </c>
    </row>
    <row r="954" spans="1:18" x14ac:dyDescent="0.25">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v>1272</v>
      </c>
      <c r="R954" t="s">
        <v>937</v>
      </c>
    </row>
    <row r="955" spans="1:18" x14ac:dyDescent="0.25">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v>5490</v>
      </c>
      <c r="R955" t="s">
        <v>940</v>
      </c>
    </row>
    <row r="956" spans="1:18" x14ac:dyDescent="0.25">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v>2472</v>
      </c>
      <c r="R956" t="s">
        <v>937</v>
      </c>
    </row>
    <row r="957" spans="1:18" x14ac:dyDescent="0.25">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v>2196</v>
      </c>
      <c r="R957" t="s">
        <v>937</v>
      </c>
    </row>
    <row r="958" spans="1:18" x14ac:dyDescent="0.25">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v>2748</v>
      </c>
      <c r="R958" t="s">
        <v>938</v>
      </c>
    </row>
    <row r="959" spans="1:18" x14ac:dyDescent="0.25">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941</v>
      </c>
    </row>
    <row r="960" spans="1:18" x14ac:dyDescent="0.25">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v>6870</v>
      </c>
      <c r="R960" t="s">
        <v>940</v>
      </c>
    </row>
    <row r="961" spans="1:18" x14ac:dyDescent="0.25">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v>3790</v>
      </c>
      <c r="R961" t="s">
        <v>943</v>
      </c>
    </row>
    <row r="962" spans="1:18" x14ac:dyDescent="0.25">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v>1344</v>
      </c>
      <c r="R962" t="s">
        <v>941</v>
      </c>
    </row>
    <row r="963" spans="1:18" x14ac:dyDescent="0.25">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v>5490</v>
      </c>
      <c r="R963" t="s">
        <v>941</v>
      </c>
    </row>
    <row r="964" spans="1:18" x14ac:dyDescent="0.25">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v>9615</v>
      </c>
      <c r="R964" t="s">
        <v>941</v>
      </c>
    </row>
    <row r="965" spans="1:18" x14ac:dyDescent="0.25">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v>3606</v>
      </c>
      <c r="R965" t="s">
        <v>941</v>
      </c>
    </row>
    <row r="966" spans="1:18" x14ac:dyDescent="0.25">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v>3240</v>
      </c>
      <c r="R966" t="s">
        <v>938</v>
      </c>
    </row>
    <row r="967" spans="1:18" x14ac:dyDescent="0.25">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v>3846</v>
      </c>
      <c r="R967" t="s">
        <v>938</v>
      </c>
    </row>
    <row r="968" spans="1:18" x14ac:dyDescent="0.25">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v>2544</v>
      </c>
      <c r="R968" t="s">
        <v>939</v>
      </c>
    </row>
    <row r="969" spans="1:18" x14ac:dyDescent="0.25">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v>3240</v>
      </c>
      <c r="R969" t="s">
        <v>939</v>
      </c>
    </row>
    <row r="970" spans="1:18" x14ac:dyDescent="0.25">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v>3755</v>
      </c>
      <c r="R970" t="s">
        <v>940</v>
      </c>
    </row>
    <row r="971" spans="1:18" x14ac:dyDescent="0.25">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v>3846</v>
      </c>
      <c r="R971" t="s">
        <v>942</v>
      </c>
    </row>
    <row r="972" spans="1:18" x14ac:dyDescent="0.25">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v>2430</v>
      </c>
      <c r="R972" t="s">
        <v>939</v>
      </c>
    </row>
    <row r="973" spans="1:18" x14ac:dyDescent="0.25">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v>3032</v>
      </c>
      <c r="R973" t="s">
        <v>937</v>
      </c>
    </row>
    <row r="974" spans="1:18" x14ac:dyDescent="0.25">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v>6010</v>
      </c>
      <c r="R974" t="s">
        <v>939</v>
      </c>
    </row>
    <row r="975" spans="1:18" x14ac:dyDescent="0.25">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v>756</v>
      </c>
      <c r="R975" t="s">
        <v>942</v>
      </c>
    </row>
    <row r="976" spans="1:18" x14ac:dyDescent="0.25">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v>1516</v>
      </c>
      <c r="R976" t="s">
        <v>943</v>
      </c>
    </row>
    <row r="977" spans="1:18" x14ac:dyDescent="0.25">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v>6360</v>
      </c>
      <c r="R977" t="s">
        <v>938</v>
      </c>
    </row>
    <row r="978" spans="1:18" x14ac:dyDescent="0.25">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v>2748</v>
      </c>
      <c r="R978" t="s">
        <v>939</v>
      </c>
    </row>
    <row r="979" spans="1:18" x14ac:dyDescent="0.25">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v>1516</v>
      </c>
      <c r="R979" t="s">
        <v>939</v>
      </c>
    </row>
    <row r="980" spans="1:18" x14ac:dyDescent="0.25">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v>2091</v>
      </c>
      <c r="R980" t="s">
        <v>941</v>
      </c>
    </row>
    <row r="981" spans="1:18" x14ac:dyDescent="0.25">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v>1488</v>
      </c>
      <c r="R981" t="s">
        <v>940</v>
      </c>
    </row>
    <row r="982" spans="1:18" x14ac:dyDescent="0.25">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v>4944</v>
      </c>
      <c r="R982" t="s">
        <v>937</v>
      </c>
    </row>
    <row r="983" spans="1:18" x14ac:dyDescent="0.25">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v>758</v>
      </c>
      <c r="R983" t="s">
        <v>938</v>
      </c>
    </row>
    <row r="984" spans="1:18" x14ac:dyDescent="0.25">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v>1502</v>
      </c>
      <c r="R984" t="s">
        <v>938</v>
      </c>
    </row>
    <row r="985" spans="1:18" x14ac:dyDescent="0.25">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v>6360</v>
      </c>
      <c r="R985" t="s">
        <v>940</v>
      </c>
    </row>
    <row r="986" spans="1:18" x14ac:dyDescent="0.25">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v>2016</v>
      </c>
      <c r="R986" t="s">
        <v>942</v>
      </c>
    </row>
    <row r="987" spans="1:18" x14ac:dyDescent="0.25">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v>4392</v>
      </c>
      <c r="R987" t="s">
        <v>941</v>
      </c>
    </row>
    <row r="988" spans="1:18" x14ac:dyDescent="0.25">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v>1098</v>
      </c>
      <c r="R988" t="s">
        <v>943</v>
      </c>
    </row>
    <row r="989" spans="1:18" x14ac:dyDescent="0.25">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v>2430</v>
      </c>
      <c r="R989" t="s">
        <v>937</v>
      </c>
    </row>
    <row r="990" spans="1:18" x14ac:dyDescent="0.25">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v>7596</v>
      </c>
      <c r="R990" t="s">
        <v>937</v>
      </c>
    </row>
    <row r="991" spans="1:18" x14ac:dyDescent="0.25">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v>1923</v>
      </c>
      <c r="R991" t="s">
        <v>940</v>
      </c>
    </row>
    <row r="992" spans="1:18" x14ac:dyDescent="0.25">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v>1098</v>
      </c>
      <c r="R992" t="s">
        <v>939</v>
      </c>
    </row>
    <row r="993" spans="1:18" x14ac:dyDescent="0.25">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v>1923</v>
      </c>
      <c r="R993" t="s">
        <v>943</v>
      </c>
    </row>
    <row r="994" spans="1:18" x14ac:dyDescent="0.25">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v>9495</v>
      </c>
      <c r="R994" t="s">
        <v>939</v>
      </c>
    </row>
    <row r="995" spans="1:18" x14ac:dyDescent="0.25">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v>4944</v>
      </c>
      <c r="R995" t="s">
        <v>943</v>
      </c>
    </row>
    <row r="996" spans="1:18" x14ac:dyDescent="0.25">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v>1502</v>
      </c>
      <c r="R996" t="s">
        <v>940</v>
      </c>
    </row>
    <row r="997" spans="1:18" x14ac:dyDescent="0.25">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v>3798</v>
      </c>
      <c r="R997" t="s">
        <v>939</v>
      </c>
    </row>
    <row r="998" spans="1:18" x14ac:dyDescent="0.25">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v>3360</v>
      </c>
      <c r="R998" t="s">
        <v>943</v>
      </c>
    </row>
    <row r="999" spans="1:18" x14ac:dyDescent="0.25">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940</v>
      </c>
    </row>
    <row r="1000" spans="1:18" x14ac:dyDescent="0.25">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v>4050</v>
      </c>
      <c r="R1000" t="s">
        <v>940</v>
      </c>
    </row>
    <row r="1001" spans="1:18" x14ac:dyDescent="0.25">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v>6010</v>
      </c>
      <c r="R1001" t="s">
        <v>937</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E2BDF-AE5D-460A-A7CA-0431CB1EB544}">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857</v>
      </c>
      <c r="C1" t="s">
        <v>858</v>
      </c>
      <c r="D1" t="s">
        <v>619</v>
      </c>
      <c r="E1" t="s">
        <v>613</v>
      </c>
    </row>
    <row r="2" spans="1:5" x14ac:dyDescent="0.25">
      <c r="A2">
        <v>1</v>
      </c>
      <c r="B2" t="s">
        <v>859</v>
      </c>
      <c r="C2" t="s">
        <v>860</v>
      </c>
      <c r="D2">
        <v>1935</v>
      </c>
      <c r="E2" t="s">
        <v>700</v>
      </c>
    </row>
    <row r="3" spans="1:5" x14ac:dyDescent="0.25">
      <c r="A3">
        <v>2</v>
      </c>
      <c r="B3" t="s">
        <v>861</v>
      </c>
      <c r="C3" t="s">
        <v>862</v>
      </c>
      <c r="D3">
        <v>441</v>
      </c>
      <c r="E3" t="s">
        <v>621</v>
      </c>
    </row>
    <row r="4" spans="1:5" x14ac:dyDescent="0.25">
      <c r="A4">
        <v>3</v>
      </c>
      <c r="B4" t="s">
        <v>863</v>
      </c>
      <c r="C4" t="s">
        <v>864</v>
      </c>
      <c r="D4">
        <v>1534</v>
      </c>
      <c r="E4" t="s">
        <v>621</v>
      </c>
    </row>
    <row r="5" spans="1:5" x14ac:dyDescent="0.25">
      <c r="A5">
        <v>4</v>
      </c>
      <c r="B5" t="s">
        <v>865</v>
      </c>
      <c r="C5" t="s">
        <v>866</v>
      </c>
      <c r="D5">
        <v>1199</v>
      </c>
      <c r="E5" t="s">
        <v>830</v>
      </c>
    </row>
    <row r="6" spans="1:5" x14ac:dyDescent="0.25">
      <c r="A6">
        <v>5</v>
      </c>
      <c r="B6" t="s">
        <v>867</v>
      </c>
      <c r="C6" t="s">
        <v>864</v>
      </c>
      <c r="D6">
        <v>1444</v>
      </c>
      <c r="E6" t="s">
        <v>700</v>
      </c>
    </row>
    <row r="7" spans="1:5" x14ac:dyDescent="0.25">
      <c r="A7">
        <v>6</v>
      </c>
      <c r="B7" t="s">
        <v>868</v>
      </c>
      <c r="C7" t="s">
        <v>869</v>
      </c>
      <c r="D7">
        <v>1112</v>
      </c>
      <c r="E7" t="s">
        <v>702</v>
      </c>
    </row>
    <row r="8" spans="1:5" x14ac:dyDescent="0.25">
      <c r="A8">
        <v>7</v>
      </c>
      <c r="B8" t="s">
        <v>870</v>
      </c>
      <c r="C8" t="s">
        <v>860</v>
      </c>
      <c r="D8">
        <v>409</v>
      </c>
      <c r="E8" t="s">
        <v>702</v>
      </c>
    </row>
    <row r="9" spans="1:5" x14ac:dyDescent="0.25">
      <c r="A9">
        <v>8</v>
      </c>
      <c r="B9" t="s">
        <v>871</v>
      </c>
      <c r="C9" t="s">
        <v>866</v>
      </c>
      <c r="D9">
        <v>252</v>
      </c>
      <c r="E9" t="s">
        <v>699</v>
      </c>
    </row>
    <row r="10" spans="1:5" x14ac:dyDescent="0.25">
      <c r="A10">
        <v>9</v>
      </c>
      <c r="B10" t="s">
        <v>872</v>
      </c>
      <c r="C10" t="s">
        <v>864</v>
      </c>
      <c r="D10">
        <v>1605</v>
      </c>
      <c r="E10" t="s">
        <v>795</v>
      </c>
    </row>
    <row r="11" spans="1:5" x14ac:dyDescent="0.25">
      <c r="A11">
        <v>10</v>
      </c>
      <c r="B11" t="s">
        <v>873</v>
      </c>
      <c r="C11" t="s">
        <v>869</v>
      </c>
      <c r="D11">
        <v>259</v>
      </c>
      <c r="E11" t="s">
        <v>708</v>
      </c>
    </row>
    <row r="12" spans="1:5" x14ac:dyDescent="0.25">
      <c r="A12">
        <v>11</v>
      </c>
      <c r="B12" t="s">
        <v>874</v>
      </c>
      <c r="C12" t="s">
        <v>875</v>
      </c>
      <c r="D12">
        <v>1096</v>
      </c>
      <c r="E12" t="s">
        <v>621</v>
      </c>
    </row>
    <row r="13" spans="1:5" x14ac:dyDescent="0.25">
      <c r="A13">
        <v>12</v>
      </c>
      <c r="B13" t="s">
        <v>876</v>
      </c>
      <c r="C13" t="s">
        <v>862</v>
      </c>
      <c r="D13">
        <v>672</v>
      </c>
      <c r="E13" t="s">
        <v>699</v>
      </c>
    </row>
    <row r="14" spans="1:5" x14ac:dyDescent="0.25">
      <c r="A14">
        <v>13</v>
      </c>
      <c r="B14" t="s">
        <v>877</v>
      </c>
      <c r="C14" t="s">
        <v>875</v>
      </c>
      <c r="D14">
        <v>1141</v>
      </c>
      <c r="E14" t="s">
        <v>702</v>
      </c>
    </row>
    <row r="15" spans="1:5" x14ac:dyDescent="0.25">
      <c r="A15">
        <v>14</v>
      </c>
      <c r="B15" t="s">
        <v>878</v>
      </c>
      <c r="C15" t="s">
        <v>864</v>
      </c>
      <c r="D15">
        <v>1915</v>
      </c>
      <c r="E15" t="s">
        <v>708</v>
      </c>
    </row>
    <row r="16" spans="1:5" x14ac:dyDescent="0.25">
      <c r="A16">
        <v>15</v>
      </c>
      <c r="B16" t="s">
        <v>879</v>
      </c>
      <c r="C16" t="s">
        <v>795</v>
      </c>
      <c r="D16">
        <v>1488</v>
      </c>
      <c r="E16" t="s">
        <v>699</v>
      </c>
    </row>
    <row r="17" spans="1:5" x14ac:dyDescent="0.25">
      <c r="A17">
        <v>16</v>
      </c>
      <c r="B17" t="s">
        <v>880</v>
      </c>
      <c r="C17" t="s">
        <v>866</v>
      </c>
      <c r="D17">
        <v>1721</v>
      </c>
      <c r="E17" t="s">
        <v>702</v>
      </c>
    </row>
    <row r="18" spans="1:5" x14ac:dyDescent="0.25">
      <c r="A18">
        <v>17</v>
      </c>
      <c r="B18" t="s">
        <v>881</v>
      </c>
      <c r="C18" t="s">
        <v>860</v>
      </c>
      <c r="D18">
        <v>1899</v>
      </c>
      <c r="E18" t="s">
        <v>699</v>
      </c>
    </row>
    <row r="19" spans="1:5" x14ac:dyDescent="0.25">
      <c r="A19">
        <v>18</v>
      </c>
      <c r="B19" t="s">
        <v>882</v>
      </c>
      <c r="C19" t="s">
        <v>862</v>
      </c>
      <c r="D19">
        <v>781</v>
      </c>
      <c r="E19" t="s">
        <v>708</v>
      </c>
    </row>
    <row r="20" spans="1:5" x14ac:dyDescent="0.25">
      <c r="A20">
        <v>19</v>
      </c>
      <c r="B20" t="s">
        <v>883</v>
      </c>
      <c r="C20" t="s">
        <v>875</v>
      </c>
      <c r="D20">
        <v>1234</v>
      </c>
      <c r="E20" t="s">
        <v>621</v>
      </c>
    </row>
    <row r="21" spans="1:5" x14ac:dyDescent="0.25">
      <c r="A21">
        <v>20</v>
      </c>
      <c r="B21" t="s">
        <v>884</v>
      </c>
      <c r="C21" t="s">
        <v>864</v>
      </c>
      <c r="D21">
        <v>697</v>
      </c>
      <c r="E21" t="s">
        <v>699</v>
      </c>
    </row>
    <row r="22" spans="1:5" x14ac:dyDescent="0.25">
      <c r="A22">
        <v>21</v>
      </c>
      <c r="B22" t="s">
        <v>885</v>
      </c>
      <c r="C22" t="s">
        <v>864</v>
      </c>
      <c r="D22">
        <v>1561</v>
      </c>
      <c r="E22" t="s">
        <v>795</v>
      </c>
    </row>
    <row r="23" spans="1:5" x14ac:dyDescent="0.25">
      <c r="A23">
        <v>22</v>
      </c>
      <c r="B23" t="s">
        <v>886</v>
      </c>
      <c r="C23" t="s">
        <v>860</v>
      </c>
      <c r="D23">
        <v>1639</v>
      </c>
      <c r="E23" t="s">
        <v>700</v>
      </c>
    </row>
    <row r="24" spans="1:5" x14ac:dyDescent="0.25">
      <c r="A24">
        <v>23</v>
      </c>
      <c r="B24" t="s">
        <v>887</v>
      </c>
      <c r="C24" t="s">
        <v>866</v>
      </c>
      <c r="D24">
        <v>1098</v>
      </c>
      <c r="E24" t="s">
        <v>699</v>
      </c>
    </row>
    <row r="25" spans="1:5" x14ac:dyDescent="0.25">
      <c r="A25">
        <v>24</v>
      </c>
      <c r="B25" t="s">
        <v>888</v>
      </c>
      <c r="C25" t="s">
        <v>875</v>
      </c>
      <c r="D25">
        <v>535</v>
      </c>
      <c r="E25" t="s">
        <v>708</v>
      </c>
    </row>
    <row r="26" spans="1:5" x14ac:dyDescent="0.25">
      <c r="A26">
        <v>25</v>
      </c>
      <c r="B26" t="s">
        <v>889</v>
      </c>
      <c r="C26" t="s">
        <v>862</v>
      </c>
      <c r="D26">
        <v>1202</v>
      </c>
      <c r="E26" t="s">
        <v>699</v>
      </c>
    </row>
    <row r="27" spans="1:5" x14ac:dyDescent="0.25">
      <c r="A27">
        <v>26</v>
      </c>
      <c r="B27" t="s">
        <v>890</v>
      </c>
      <c r="C27" t="s">
        <v>864</v>
      </c>
      <c r="D27">
        <v>289</v>
      </c>
      <c r="E27" t="s">
        <v>702</v>
      </c>
    </row>
    <row r="28" spans="1:5" x14ac:dyDescent="0.25">
      <c r="A28">
        <v>27</v>
      </c>
      <c r="B28" t="s">
        <v>891</v>
      </c>
      <c r="C28" t="s">
        <v>869</v>
      </c>
      <c r="D28">
        <v>548</v>
      </c>
      <c r="E28" t="s">
        <v>795</v>
      </c>
    </row>
    <row r="29" spans="1:5" x14ac:dyDescent="0.25">
      <c r="A29">
        <v>28</v>
      </c>
      <c r="B29" t="s">
        <v>892</v>
      </c>
      <c r="C29" t="s">
        <v>866</v>
      </c>
      <c r="D29">
        <v>1778</v>
      </c>
      <c r="E29" t="s">
        <v>795</v>
      </c>
    </row>
    <row r="30" spans="1:5" x14ac:dyDescent="0.25">
      <c r="A30">
        <v>29</v>
      </c>
      <c r="B30" t="s">
        <v>893</v>
      </c>
      <c r="C30" t="s">
        <v>864</v>
      </c>
      <c r="D30">
        <v>1252</v>
      </c>
      <c r="E30" t="s">
        <v>702</v>
      </c>
    </row>
    <row r="31" spans="1:5" x14ac:dyDescent="0.25">
      <c r="A31">
        <v>30</v>
      </c>
      <c r="B31" t="s">
        <v>894</v>
      </c>
      <c r="C31" t="s">
        <v>864</v>
      </c>
      <c r="D31">
        <v>751</v>
      </c>
      <c r="E31" t="s">
        <v>699</v>
      </c>
    </row>
    <row r="32" spans="1:5" x14ac:dyDescent="0.25">
      <c r="A32">
        <v>31</v>
      </c>
      <c r="B32" t="s">
        <v>895</v>
      </c>
      <c r="C32" t="s">
        <v>864</v>
      </c>
      <c r="D32">
        <v>1804</v>
      </c>
      <c r="E32" t="s">
        <v>700</v>
      </c>
    </row>
    <row r="33" spans="1:5" x14ac:dyDescent="0.25">
      <c r="A33">
        <v>32</v>
      </c>
      <c r="B33" t="s">
        <v>896</v>
      </c>
      <c r="C33" t="s">
        <v>860</v>
      </c>
      <c r="D33">
        <v>1792</v>
      </c>
      <c r="E33" t="s">
        <v>708</v>
      </c>
    </row>
    <row r="34" spans="1:5" x14ac:dyDescent="0.25">
      <c r="A34">
        <v>33</v>
      </c>
      <c r="B34" t="s">
        <v>897</v>
      </c>
      <c r="C34" t="s">
        <v>864</v>
      </c>
      <c r="D34">
        <v>314</v>
      </c>
      <c r="E34" t="s">
        <v>621</v>
      </c>
    </row>
    <row r="35" spans="1:5" x14ac:dyDescent="0.25">
      <c r="A35">
        <v>34</v>
      </c>
      <c r="B35" t="s">
        <v>898</v>
      </c>
      <c r="C35" t="s">
        <v>860</v>
      </c>
      <c r="D35">
        <v>1335</v>
      </c>
      <c r="E35" t="s">
        <v>795</v>
      </c>
    </row>
    <row r="36" spans="1:5" x14ac:dyDescent="0.25">
      <c r="A36">
        <v>35</v>
      </c>
      <c r="B36" t="s">
        <v>899</v>
      </c>
      <c r="C36" t="s">
        <v>864</v>
      </c>
      <c r="D36">
        <v>1865</v>
      </c>
      <c r="E36" t="s">
        <v>702</v>
      </c>
    </row>
    <row r="37" spans="1:5" x14ac:dyDescent="0.25">
      <c r="A37">
        <v>36</v>
      </c>
      <c r="B37" t="s">
        <v>900</v>
      </c>
      <c r="C37" t="s">
        <v>862</v>
      </c>
      <c r="D37">
        <v>203</v>
      </c>
      <c r="E37" t="s">
        <v>708</v>
      </c>
    </row>
    <row r="38" spans="1:5" x14ac:dyDescent="0.25">
      <c r="A38">
        <v>37</v>
      </c>
      <c r="B38" t="s">
        <v>901</v>
      </c>
      <c r="C38" t="s">
        <v>864</v>
      </c>
      <c r="D38">
        <v>1428</v>
      </c>
      <c r="E38" t="s">
        <v>830</v>
      </c>
    </row>
    <row r="39" spans="1:5" x14ac:dyDescent="0.25">
      <c r="A39">
        <v>38</v>
      </c>
      <c r="B39" t="s">
        <v>902</v>
      </c>
      <c r="C39" t="s">
        <v>869</v>
      </c>
      <c r="D39">
        <v>562</v>
      </c>
      <c r="E39" t="s">
        <v>708</v>
      </c>
    </row>
    <row r="40" spans="1:5" x14ac:dyDescent="0.25">
      <c r="A40">
        <v>39</v>
      </c>
      <c r="B40" t="s">
        <v>903</v>
      </c>
      <c r="C40" t="s">
        <v>875</v>
      </c>
      <c r="D40">
        <v>387</v>
      </c>
      <c r="E40" t="s">
        <v>700</v>
      </c>
    </row>
    <row r="41" spans="1:5" x14ac:dyDescent="0.25">
      <c r="A41">
        <v>40</v>
      </c>
      <c r="B41" t="s">
        <v>904</v>
      </c>
      <c r="C41" t="s">
        <v>866</v>
      </c>
      <c r="D41">
        <v>1923</v>
      </c>
      <c r="E41" t="s">
        <v>699</v>
      </c>
    </row>
    <row r="42" spans="1:5" x14ac:dyDescent="0.25">
      <c r="A42">
        <v>41</v>
      </c>
      <c r="B42" t="s">
        <v>905</v>
      </c>
      <c r="C42" t="s">
        <v>866</v>
      </c>
      <c r="D42">
        <v>1977</v>
      </c>
      <c r="E42" t="s">
        <v>830</v>
      </c>
    </row>
    <row r="43" spans="1:5" x14ac:dyDescent="0.25">
      <c r="A43">
        <v>42</v>
      </c>
      <c r="B43" t="s">
        <v>906</v>
      </c>
      <c r="C43" t="s">
        <v>866</v>
      </c>
      <c r="D43">
        <v>1744</v>
      </c>
      <c r="E43" t="s">
        <v>700</v>
      </c>
    </row>
    <row r="44" spans="1:5" x14ac:dyDescent="0.25">
      <c r="A44">
        <v>43</v>
      </c>
      <c r="B44" t="s">
        <v>907</v>
      </c>
      <c r="C44" t="s">
        <v>795</v>
      </c>
      <c r="D44">
        <v>750</v>
      </c>
      <c r="E44" t="s">
        <v>830</v>
      </c>
    </row>
    <row r="45" spans="1:5" x14ac:dyDescent="0.25">
      <c r="A45">
        <v>44</v>
      </c>
      <c r="B45" t="s">
        <v>908</v>
      </c>
      <c r="C45" t="s">
        <v>862</v>
      </c>
      <c r="D45">
        <v>794</v>
      </c>
      <c r="E45" t="s">
        <v>830</v>
      </c>
    </row>
    <row r="46" spans="1:5" x14ac:dyDescent="0.25">
      <c r="A46">
        <v>45</v>
      </c>
      <c r="B46" t="s">
        <v>909</v>
      </c>
      <c r="C46" t="s">
        <v>795</v>
      </c>
      <c r="D46">
        <v>722</v>
      </c>
      <c r="E46" t="s">
        <v>708</v>
      </c>
    </row>
    <row r="47" spans="1:5" x14ac:dyDescent="0.25">
      <c r="A47">
        <v>46</v>
      </c>
      <c r="B47" t="s">
        <v>910</v>
      </c>
      <c r="C47" t="s">
        <v>869</v>
      </c>
      <c r="D47">
        <v>758</v>
      </c>
      <c r="E47" t="s">
        <v>699</v>
      </c>
    </row>
    <row r="48" spans="1:5" x14ac:dyDescent="0.25">
      <c r="A48">
        <v>47</v>
      </c>
      <c r="B48" t="s">
        <v>911</v>
      </c>
      <c r="C48" t="s">
        <v>864</v>
      </c>
      <c r="D48">
        <v>1638</v>
      </c>
      <c r="E48" t="s">
        <v>702</v>
      </c>
    </row>
    <row r="49" spans="1:5" x14ac:dyDescent="0.25">
      <c r="A49">
        <v>48</v>
      </c>
      <c r="B49" t="s">
        <v>912</v>
      </c>
      <c r="C49" t="s">
        <v>864</v>
      </c>
      <c r="D49">
        <v>433</v>
      </c>
      <c r="E49" t="s">
        <v>830</v>
      </c>
    </row>
    <row r="50" spans="1:5" x14ac:dyDescent="0.25">
      <c r="A50">
        <v>49</v>
      </c>
      <c r="B50" t="s">
        <v>913</v>
      </c>
      <c r="C50" t="s">
        <v>864</v>
      </c>
      <c r="D50">
        <v>903</v>
      </c>
      <c r="E50" t="s">
        <v>621</v>
      </c>
    </row>
    <row r="51" spans="1:5" x14ac:dyDescent="0.25">
      <c r="A51">
        <v>50</v>
      </c>
      <c r="B51" t="s">
        <v>914</v>
      </c>
      <c r="C51" t="s">
        <v>862</v>
      </c>
      <c r="D51">
        <v>422</v>
      </c>
      <c r="E51" t="s">
        <v>702</v>
      </c>
    </row>
    <row r="52" spans="1:5" x14ac:dyDescent="0.25">
      <c r="A52">
        <v>51</v>
      </c>
      <c r="B52" t="s">
        <v>915</v>
      </c>
      <c r="C52" t="s">
        <v>860</v>
      </c>
      <c r="D52">
        <v>1084</v>
      </c>
      <c r="E52" t="s">
        <v>700</v>
      </c>
    </row>
    <row r="53" spans="1:5" x14ac:dyDescent="0.25">
      <c r="A53">
        <v>52</v>
      </c>
      <c r="B53" t="s">
        <v>916</v>
      </c>
      <c r="C53" t="s">
        <v>795</v>
      </c>
      <c r="D53">
        <v>236</v>
      </c>
      <c r="E53" t="s">
        <v>621</v>
      </c>
    </row>
    <row r="54" spans="1:5" x14ac:dyDescent="0.25">
      <c r="A54">
        <v>53</v>
      </c>
      <c r="B54" t="s">
        <v>917</v>
      </c>
      <c r="C54" t="s">
        <v>866</v>
      </c>
      <c r="D54">
        <v>1672</v>
      </c>
      <c r="E54" t="s">
        <v>795</v>
      </c>
    </row>
    <row r="55" spans="1:5" x14ac:dyDescent="0.25">
      <c r="A55">
        <v>54</v>
      </c>
      <c r="B55" t="s">
        <v>918</v>
      </c>
      <c r="C55" t="s">
        <v>869</v>
      </c>
      <c r="D55">
        <v>1236</v>
      </c>
      <c r="E55" t="s">
        <v>699</v>
      </c>
    </row>
    <row r="56" spans="1:5" x14ac:dyDescent="0.25">
      <c r="A56">
        <v>55</v>
      </c>
      <c r="B56" t="s">
        <v>919</v>
      </c>
      <c r="C56" t="s">
        <v>860</v>
      </c>
      <c r="D56">
        <v>1904</v>
      </c>
      <c r="E56" t="s">
        <v>795</v>
      </c>
    </row>
    <row r="57" spans="1:5" x14ac:dyDescent="0.25">
      <c r="A57">
        <v>56</v>
      </c>
      <c r="B57" t="s">
        <v>885</v>
      </c>
      <c r="C57" t="s">
        <v>795</v>
      </c>
      <c r="D57">
        <v>1272</v>
      </c>
      <c r="E57" t="s">
        <v>699</v>
      </c>
    </row>
    <row r="58" spans="1:5" x14ac:dyDescent="0.25">
      <c r="A58">
        <v>57</v>
      </c>
      <c r="B58" t="s">
        <v>920</v>
      </c>
      <c r="C58" t="s">
        <v>864</v>
      </c>
      <c r="D58">
        <v>1582</v>
      </c>
      <c r="E58" t="s">
        <v>708</v>
      </c>
    </row>
    <row r="59" spans="1:5" x14ac:dyDescent="0.25">
      <c r="A59">
        <v>58</v>
      </c>
      <c r="B59" t="s">
        <v>921</v>
      </c>
      <c r="C59" t="s">
        <v>869</v>
      </c>
      <c r="D59">
        <v>1492</v>
      </c>
      <c r="E59" t="s">
        <v>621</v>
      </c>
    </row>
    <row r="60" spans="1:5" x14ac:dyDescent="0.25">
      <c r="A60">
        <v>59</v>
      </c>
      <c r="B60" t="s">
        <v>922</v>
      </c>
      <c r="C60" t="s">
        <v>869</v>
      </c>
      <c r="D60">
        <v>811</v>
      </c>
      <c r="E60" t="s">
        <v>795</v>
      </c>
    </row>
    <row r="61" spans="1:5" x14ac:dyDescent="0.25">
      <c r="A61">
        <v>60</v>
      </c>
      <c r="B61" t="s">
        <v>923</v>
      </c>
      <c r="C61" t="s">
        <v>866</v>
      </c>
      <c r="D61">
        <v>827</v>
      </c>
      <c r="E61" t="s">
        <v>830</v>
      </c>
    </row>
    <row r="62" spans="1:5" x14ac:dyDescent="0.25">
      <c r="A62">
        <v>61</v>
      </c>
      <c r="B62" t="s">
        <v>924</v>
      </c>
      <c r="C62" t="s">
        <v>862</v>
      </c>
      <c r="D62">
        <v>810</v>
      </c>
      <c r="E62" t="s">
        <v>699</v>
      </c>
    </row>
    <row r="63" spans="1:5" x14ac:dyDescent="0.25">
      <c r="A63">
        <v>62</v>
      </c>
      <c r="B63" t="s">
        <v>925</v>
      </c>
      <c r="C63" t="s">
        <v>864</v>
      </c>
      <c r="D63">
        <v>1356</v>
      </c>
      <c r="E63" t="s">
        <v>702</v>
      </c>
    </row>
    <row r="64" spans="1:5" x14ac:dyDescent="0.25">
      <c r="A64">
        <v>63</v>
      </c>
      <c r="B64" t="s">
        <v>926</v>
      </c>
      <c r="C64" t="s">
        <v>866</v>
      </c>
      <c r="D64">
        <v>1348</v>
      </c>
      <c r="E64" t="s">
        <v>700</v>
      </c>
    </row>
    <row r="65" spans="1:5" x14ac:dyDescent="0.25">
      <c r="A65">
        <v>64</v>
      </c>
      <c r="B65" t="s">
        <v>927</v>
      </c>
      <c r="C65" t="s">
        <v>860</v>
      </c>
      <c r="D65">
        <v>1878</v>
      </c>
      <c r="E65" t="s">
        <v>795</v>
      </c>
    </row>
    <row r="66" spans="1:5" x14ac:dyDescent="0.25">
      <c r="A66">
        <v>65</v>
      </c>
      <c r="B66" t="s">
        <v>928</v>
      </c>
      <c r="C66" t="s">
        <v>795</v>
      </c>
      <c r="D66">
        <v>1895</v>
      </c>
      <c r="E66" t="s">
        <v>700</v>
      </c>
    </row>
    <row r="67" spans="1:5" x14ac:dyDescent="0.25">
      <c r="A67">
        <v>66</v>
      </c>
      <c r="B67" t="s">
        <v>929</v>
      </c>
      <c r="C67" t="s">
        <v>864</v>
      </c>
      <c r="D67">
        <v>610</v>
      </c>
      <c r="E67" t="s">
        <v>702</v>
      </c>
    </row>
    <row r="68" spans="1:5" x14ac:dyDescent="0.25">
      <c r="A68">
        <v>67</v>
      </c>
      <c r="B68" t="s">
        <v>930</v>
      </c>
      <c r="C68" t="s">
        <v>795</v>
      </c>
      <c r="D68">
        <v>1374</v>
      </c>
      <c r="E68" t="s">
        <v>699</v>
      </c>
    </row>
    <row r="69" spans="1:5" x14ac:dyDescent="0.25">
      <c r="A69">
        <v>68</v>
      </c>
      <c r="B69" t="s">
        <v>931</v>
      </c>
      <c r="C69" t="s">
        <v>860</v>
      </c>
      <c r="D69">
        <v>597</v>
      </c>
      <c r="E69" t="s">
        <v>621</v>
      </c>
    </row>
    <row r="70" spans="1:5" x14ac:dyDescent="0.25">
      <c r="A70">
        <v>69</v>
      </c>
      <c r="B70" t="s">
        <v>932</v>
      </c>
      <c r="C70" t="s">
        <v>869</v>
      </c>
      <c r="D70">
        <v>998</v>
      </c>
      <c r="E70" t="s">
        <v>702</v>
      </c>
    </row>
    <row r="71" spans="1:5" x14ac:dyDescent="0.25">
      <c r="A71">
        <v>70</v>
      </c>
      <c r="B71" t="s">
        <v>928</v>
      </c>
      <c r="C71" t="s">
        <v>866</v>
      </c>
      <c r="D71">
        <v>866</v>
      </c>
      <c r="E71"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AC3C-62A5-44DE-A683-BACFCCCABBA2}">
  <dimension ref="A1:K50"/>
  <sheetViews>
    <sheetView zoomScale="51" zoomScaleNormal="86" workbookViewId="0">
      <selection activeCell="C9" sqref="C9"/>
    </sheetView>
  </sheetViews>
  <sheetFormatPr defaultRowHeight="15" x14ac:dyDescent="0.25"/>
  <cols>
    <col min="2" max="2" width="26.7109375" bestFit="1" customWidth="1"/>
    <col min="3" max="3" width="21.7109375" bestFit="1" customWidth="1"/>
    <col min="4" max="4" width="17.140625" bestFit="1" customWidth="1"/>
    <col min="6" max="6" width="19.7109375" bestFit="1" customWidth="1"/>
    <col min="7" max="7" width="24.28515625" bestFit="1" customWidth="1"/>
    <col min="8" max="8" width="15.5703125" bestFit="1" customWidth="1"/>
    <col min="10" max="10" width="24.28515625" bestFit="1" customWidth="1"/>
    <col min="11" max="11" width="21.7109375" bestFit="1" customWidth="1"/>
    <col min="12" max="12" width="19.7109375" bestFit="1" customWidth="1"/>
    <col min="13" max="13" width="21.42578125" bestFit="1" customWidth="1"/>
  </cols>
  <sheetData>
    <row r="1" spans="1:11" ht="18.75" x14ac:dyDescent="0.3">
      <c r="A1" s="4">
        <v>1</v>
      </c>
      <c r="B1" s="5" t="s">
        <v>944</v>
      </c>
      <c r="E1" s="4">
        <v>6</v>
      </c>
      <c r="F1" s="7" t="s">
        <v>933</v>
      </c>
      <c r="G1" s="5" t="s">
        <v>944</v>
      </c>
      <c r="I1" s="4">
        <f>7+2</f>
        <v>9</v>
      </c>
      <c r="J1" s="7" t="s">
        <v>933</v>
      </c>
      <c r="K1" s="5" t="s">
        <v>944</v>
      </c>
    </row>
    <row r="2" spans="1:11" x14ac:dyDescent="0.25">
      <c r="B2" s="6">
        <v>3520984</v>
      </c>
      <c r="F2" s="5" t="s">
        <v>869</v>
      </c>
      <c r="G2" s="6">
        <v>329862</v>
      </c>
      <c r="J2" s="5" t="s">
        <v>700</v>
      </c>
      <c r="K2" s="6">
        <v>586176</v>
      </c>
    </row>
    <row r="3" spans="1:11" x14ac:dyDescent="0.25">
      <c r="F3" s="5" t="s">
        <v>864</v>
      </c>
      <c r="G3" s="6">
        <v>1005645</v>
      </c>
      <c r="J3" s="5" t="s">
        <v>699</v>
      </c>
      <c r="K3" s="6">
        <v>674634</v>
      </c>
    </row>
    <row r="4" spans="1:11" ht="18.75" x14ac:dyDescent="0.3">
      <c r="A4" s="4">
        <v>2</v>
      </c>
      <c r="B4" s="5" t="s">
        <v>945</v>
      </c>
      <c r="F4" s="5" t="s">
        <v>875</v>
      </c>
      <c r="G4" s="6">
        <v>201151</v>
      </c>
      <c r="J4" s="5" t="s">
        <v>708</v>
      </c>
      <c r="K4" s="6">
        <v>408194</v>
      </c>
    </row>
    <row r="5" spans="1:11" x14ac:dyDescent="0.25">
      <c r="B5" s="14">
        <v>5.53</v>
      </c>
      <c r="F5" s="5" t="s">
        <v>862</v>
      </c>
      <c r="G5" s="6">
        <v>212281</v>
      </c>
      <c r="J5" s="5" t="s">
        <v>830</v>
      </c>
      <c r="K5" s="6">
        <v>313783</v>
      </c>
    </row>
    <row r="6" spans="1:11" x14ac:dyDescent="0.25">
      <c r="F6" s="5" t="s">
        <v>795</v>
      </c>
      <c r="G6" s="6">
        <v>297372</v>
      </c>
      <c r="J6" s="5" t="s">
        <v>702</v>
      </c>
      <c r="K6" s="6">
        <v>574682</v>
      </c>
    </row>
    <row r="7" spans="1:11" ht="18.75" x14ac:dyDescent="0.3">
      <c r="A7" s="4">
        <v>3</v>
      </c>
      <c r="B7" s="7" t="s">
        <v>933</v>
      </c>
      <c r="C7" s="5" t="s">
        <v>944</v>
      </c>
      <c r="F7" s="5" t="s">
        <v>860</v>
      </c>
      <c r="G7" s="6">
        <v>740831</v>
      </c>
      <c r="J7" s="5" t="s">
        <v>795</v>
      </c>
      <c r="K7" s="6">
        <v>631585</v>
      </c>
    </row>
    <row r="8" spans="1:11" x14ac:dyDescent="0.25">
      <c r="B8" s="5" t="s">
        <v>843</v>
      </c>
      <c r="C8" s="6">
        <v>95468</v>
      </c>
      <c r="F8" s="5" t="s">
        <v>866</v>
      </c>
      <c r="G8" s="6">
        <v>733842</v>
      </c>
      <c r="J8" s="5" t="s">
        <v>621</v>
      </c>
      <c r="K8" s="6">
        <v>331930</v>
      </c>
    </row>
    <row r="9" spans="1:11" x14ac:dyDescent="0.25">
      <c r="B9" s="5" t="s">
        <v>622</v>
      </c>
      <c r="C9" s="6">
        <v>704509</v>
      </c>
      <c r="F9" s="5" t="s">
        <v>934</v>
      </c>
      <c r="G9" s="8">
        <v>3520984</v>
      </c>
      <c r="J9" s="5" t="s">
        <v>934</v>
      </c>
      <c r="K9" s="8">
        <v>3520984</v>
      </c>
    </row>
    <row r="10" spans="1:11" x14ac:dyDescent="0.25">
      <c r="B10" s="5" t="s">
        <v>748</v>
      </c>
      <c r="C10" s="6">
        <v>511823</v>
      </c>
    </row>
    <row r="11" spans="1:11" x14ac:dyDescent="0.25">
      <c r="B11" s="5" t="s">
        <v>838</v>
      </c>
      <c r="C11" s="6">
        <v>140393</v>
      </c>
    </row>
    <row r="12" spans="1:11" x14ac:dyDescent="0.25">
      <c r="B12" s="5" t="s">
        <v>841</v>
      </c>
      <c r="C12" s="6">
        <v>150346</v>
      </c>
    </row>
    <row r="13" spans="1:11" x14ac:dyDescent="0.25">
      <c r="B13" s="5" t="s">
        <v>842</v>
      </c>
      <c r="C13" s="6">
        <v>157913</v>
      </c>
    </row>
    <row r="14" spans="1:11" ht="18.75" x14ac:dyDescent="0.3">
      <c r="B14" s="5" t="s">
        <v>840</v>
      </c>
      <c r="C14" s="6">
        <v>135826</v>
      </c>
      <c r="E14" s="4">
        <v>7</v>
      </c>
      <c r="F14" s="11" t="s">
        <v>933</v>
      </c>
      <c r="G14" t="s">
        <v>947</v>
      </c>
      <c r="I14" s="4"/>
      <c r="J14" s="7" t="s">
        <v>933</v>
      </c>
      <c r="K14" s="5" t="s">
        <v>944</v>
      </c>
    </row>
    <row r="15" spans="1:11" x14ac:dyDescent="0.25">
      <c r="B15" s="5" t="s">
        <v>796</v>
      </c>
      <c r="C15" s="6">
        <v>737389</v>
      </c>
      <c r="F15" s="12" t="s">
        <v>218</v>
      </c>
      <c r="G15" s="13">
        <v>18</v>
      </c>
      <c r="J15" s="5" t="s">
        <v>940</v>
      </c>
      <c r="K15" s="6">
        <v>628138</v>
      </c>
    </row>
    <row r="16" spans="1:11" x14ac:dyDescent="0.25">
      <c r="B16" s="5" t="s">
        <v>844</v>
      </c>
      <c r="C16" s="6">
        <v>136938</v>
      </c>
      <c r="F16" s="12" t="s">
        <v>152</v>
      </c>
      <c r="G16" s="13">
        <v>21</v>
      </c>
      <c r="J16" s="5" t="s">
        <v>941</v>
      </c>
      <c r="K16" s="6">
        <v>461670</v>
      </c>
    </row>
    <row r="17" spans="1:11" x14ac:dyDescent="0.25">
      <c r="B17" s="5" t="s">
        <v>846</v>
      </c>
      <c r="C17" s="6">
        <v>151619</v>
      </c>
      <c r="F17" s="12" t="s">
        <v>32</v>
      </c>
      <c r="G17" s="13">
        <v>18</v>
      </c>
      <c r="J17" s="5" t="s">
        <v>942</v>
      </c>
      <c r="K17" s="6">
        <v>677223</v>
      </c>
    </row>
    <row r="18" spans="1:11" x14ac:dyDescent="0.25">
      <c r="B18" s="5" t="s">
        <v>823</v>
      </c>
      <c r="C18" s="6">
        <v>449169</v>
      </c>
      <c r="F18" s="12" t="s">
        <v>324</v>
      </c>
      <c r="G18" s="13">
        <v>28</v>
      </c>
      <c r="J18" s="5" t="s">
        <v>938</v>
      </c>
      <c r="K18" s="6">
        <v>415192</v>
      </c>
    </row>
    <row r="19" spans="1:11" x14ac:dyDescent="0.25">
      <c r="B19" s="5" t="s">
        <v>837</v>
      </c>
      <c r="C19" s="6">
        <v>149591</v>
      </c>
      <c r="F19" s="12" t="s">
        <v>230</v>
      </c>
      <c r="G19" s="13">
        <v>21</v>
      </c>
      <c r="J19" s="5" t="s">
        <v>943</v>
      </c>
      <c r="K19" s="6">
        <v>418354</v>
      </c>
    </row>
    <row r="20" spans="1:11" x14ac:dyDescent="0.25">
      <c r="B20" s="5" t="s">
        <v>934</v>
      </c>
      <c r="C20" s="8">
        <v>3520984</v>
      </c>
      <c r="F20" s="12" t="s">
        <v>301</v>
      </c>
      <c r="G20" s="13">
        <v>20</v>
      </c>
      <c r="J20" s="5" t="s">
        <v>939</v>
      </c>
      <c r="K20" s="6">
        <v>475447</v>
      </c>
    </row>
    <row r="21" spans="1:11" x14ac:dyDescent="0.25">
      <c r="F21" s="12" t="s">
        <v>188</v>
      </c>
      <c r="G21" s="13">
        <v>24</v>
      </c>
      <c r="J21" s="5" t="s">
        <v>937</v>
      </c>
      <c r="K21" s="6">
        <v>444960</v>
      </c>
    </row>
    <row r="22" spans="1:11" ht="18.75" x14ac:dyDescent="0.3">
      <c r="A22" s="4">
        <v>4</v>
      </c>
      <c r="B22" s="7" t="s">
        <v>933</v>
      </c>
      <c r="C22" s="5" t="s">
        <v>944</v>
      </c>
      <c r="F22" s="12" t="s">
        <v>307</v>
      </c>
      <c r="G22" s="13">
        <v>29</v>
      </c>
      <c r="J22" s="5" t="s">
        <v>934</v>
      </c>
      <c r="K22" s="8">
        <v>3520984</v>
      </c>
    </row>
    <row r="23" spans="1:11" x14ac:dyDescent="0.25">
      <c r="B23" s="5" t="s">
        <v>878</v>
      </c>
      <c r="C23" s="6">
        <v>97665</v>
      </c>
      <c r="F23" s="12" t="s">
        <v>158</v>
      </c>
      <c r="G23" s="13">
        <v>27</v>
      </c>
    </row>
    <row r="24" spans="1:11" x14ac:dyDescent="0.25">
      <c r="B24" s="5" t="s">
        <v>919</v>
      </c>
      <c r="C24" s="6">
        <v>106624</v>
      </c>
      <c r="F24" s="12" t="s">
        <v>397</v>
      </c>
      <c r="G24" s="13">
        <v>19</v>
      </c>
    </row>
    <row r="25" spans="1:11" x14ac:dyDescent="0.25">
      <c r="B25" s="5" t="s">
        <v>911</v>
      </c>
      <c r="C25" s="6">
        <v>101556</v>
      </c>
      <c r="F25" s="12" t="s">
        <v>934</v>
      </c>
      <c r="G25" s="13">
        <v>225</v>
      </c>
      <c r="J25" s="7" t="s">
        <v>933</v>
      </c>
      <c r="K25" s="5" t="s">
        <v>944</v>
      </c>
    </row>
    <row r="26" spans="1:11" x14ac:dyDescent="0.25">
      <c r="B26" s="5" t="s">
        <v>859</v>
      </c>
      <c r="C26" s="6">
        <v>121905</v>
      </c>
      <c r="J26" s="5">
        <v>0</v>
      </c>
      <c r="K26" s="6">
        <v>99400</v>
      </c>
    </row>
    <row r="27" spans="1:11" x14ac:dyDescent="0.25">
      <c r="B27" s="5" t="s">
        <v>885</v>
      </c>
      <c r="C27" s="6">
        <v>114476</v>
      </c>
      <c r="J27" s="5">
        <v>1</v>
      </c>
      <c r="K27" s="6">
        <v>129309</v>
      </c>
    </row>
    <row r="28" spans="1:11" ht="18.75" x14ac:dyDescent="0.3">
      <c r="B28" s="5" t="s">
        <v>934</v>
      </c>
      <c r="C28" s="8">
        <v>542226</v>
      </c>
      <c r="E28" s="4">
        <f>7+3</f>
        <v>10</v>
      </c>
      <c r="J28" s="5">
        <v>2</v>
      </c>
      <c r="K28" s="6">
        <v>152940</v>
      </c>
    </row>
    <row r="29" spans="1:11" x14ac:dyDescent="0.25">
      <c r="J29" s="5">
        <v>3</v>
      </c>
      <c r="K29" s="6">
        <v>146810</v>
      </c>
    </row>
    <row r="30" spans="1:11" ht="18.75" x14ac:dyDescent="0.3">
      <c r="A30" s="4">
        <v>5</v>
      </c>
      <c r="B30" s="5" t="s">
        <v>946</v>
      </c>
      <c r="J30" s="5">
        <v>4</v>
      </c>
      <c r="K30" s="6">
        <v>114700</v>
      </c>
    </row>
    <row r="31" spans="1:11" x14ac:dyDescent="0.25">
      <c r="B31" s="6">
        <v>3520.9839999999999</v>
      </c>
      <c r="J31" s="5">
        <v>5</v>
      </c>
      <c r="K31" s="6">
        <v>156198</v>
      </c>
    </row>
    <row r="32" spans="1:11" x14ac:dyDescent="0.25">
      <c r="J32" s="5">
        <v>6</v>
      </c>
      <c r="K32" s="6">
        <v>177211</v>
      </c>
    </row>
    <row r="33" spans="1:11" ht="15.75" thickBot="1" x14ac:dyDescent="0.3">
      <c r="J33" s="5">
        <v>7</v>
      </c>
      <c r="K33" s="6">
        <v>147749</v>
      </c>
    </row>
    <row r="34" spans="1:11" ht="19.5" thickBot="1" x14ac:dyDescent="0.35">
      <c r="A34" s="4">
        <v>8</v>
      </c>
      <c r="B34" s="9">
        <f>CORREL(Orders!D:D,Orders!M:M)</f>
        <v>3.4781737193018245E-3</v>
      </c>
      <c r="J34" s="5">
        <v>8</v>
      </c>
      <c r="K34" s="6">
        <v>133617</v>
      </c>
    </row>
    <row r="35" spans="1:11" x14ac:dyDescent="0.25">
      <c r="J35" s="5">
        <v>9</v>
      </c>
      <c r="K35" s="6">
        <v>153678</v>
      </c>
    </row>
    <row r="36" spans="1:11" x14ac:dyDescent="0.25">
      <c r="J36" s="5">
        <v>10</v>
      </c>
      <c r="K36" s="6">
        <v>94985</v>
      </c>
    </row>
    <row r="37" spans="1:11" x14ac:dyDescent="0.25">
      <c r="J37" s="5">
        <v>11</v>
      </c>
      <c r="K37" s="6">
        <v>130287</v>
      </c>
    </row>
    <row r="38" spans="1:11" x14ac:dyDescent="0.25">
      <c r="J38" s="5">
        <v>12</v>
      </c>
      <c r="K38" s="6">
        <v>162394</v>
      </c>
    </row>
    <row r="39" spans="1:11" x14ac:dyDescent="0.25">
      <c r="B39" s="5" t="s">
        <v>948</v>
      </c>
      <c r="J39" s="5">
        <v>13</v>
      </c>
      <c r="K39" s="6">
        <v>152340</v>
      </c>
    </row>
    <row r="40" spans="1:11" x14ac:dyDescent="0.25">
      <c r="B40" s="14">
        <v>1000</v>
      </c>
      <c r="J40" s="5">
        <v>14</v>
      </c>
      <c r="K40" s="6">
        <v>126406</v>
      </c>
    </row>
    <row r="41" spans="1:11" x14ac:dyDescent="0.25">
      <c r="J41" s="5">
        <v>15</v>
      </c>
      <c r="K41" s="6">
        <v>163586</v>
      </c>
    </row>
    <row r="42" spans="1:11" x14ac:dyDescent="0.25">
      <c r="J42" s="5">
        <v>16</v>
      </c>
      <c r="K42" s="6">
        <v>128797</v>
      </c>
    </row>
    <row r="43" spans="1:11" x14ac:dyDescent="0.25">
      <c r="J43" s="5">
        <v>17</v>
      </c>
      <c r="K43" s="6">
        <v>155373</v>
      </c>
    </row>
    <row r="44" spans="1:11" x14ac:dyDescent="0.25">
      <c r="J44" s="5">
        <v>18</v>
      </c>
      <c r="K44" s="6">
        <v>173118</v>
      </c>
    </row>
    <row r="45" spans="1:11" x14ac:dyDescent="0.25">
      <c r="J45" s="5">
        <v>19</v>
      </c>
      <c r="K45" s="6">
        <v>185771</v>
      </c>
    </row>
    <row r="46" spans="1:11" x14ac:dyDescent="0.25">
      <c r="J46" s="5">
        <v>20</v>
      </c>
      <c r="K46" s="6">
        <v>186426</v>
      </c>
    </row>
    <row r="47" spans="1:11" x14ac:dyDescent="0.25">
      <c r="J47" s="5">
        <v>21</v>
      </c>
      <c r="K47" s="6">
        <v>155466</v>
      </c>
    </row>
    <row r="48" spans="1:11" x14ac:dyDescent="0.25">
      <c r="J48" s="5">
        <v>22</v>
      </c>
      <c r="K48" s="6">
        <v>125912</v>
      </c>
    </row>
    <row r="49" spans="10:11" x14ac:dyDescent="0.25">
      <c r="J49" s="5">
        <v>23</v>
      </c>
      <c r="K49" s="6">
        <v>168511</v>
      </c>
    </row>
    <row r="50" spans="10:11" x14ac:dyDescent="0.25">
      <c r="J50" s="5" t="s">
        <v>934</v>
      </c>
      <c r="K50" s="8">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3695-F07E-4FBB-B57B-F78FC7AAC321}">
  <dimension ref="C4"/>
  <sheetViews>
    <sheetView showGridLines="0" tabSelected="1" showRuler="0" zoomScale="48" zoomScaleNormal="48" workbookViewId="0">
      <selection activeCell="Z10" sqref="Z10"/>
    </sheetView>
  </sheetViews>
  <sheetFormatPr defaultRowHeight="15" x14ac:dyDescent="0.25"/>
  <cols>
    <col min="43" max="43" width="9.140625" customWidth="1"/>
  </cols>
  <sheetData>
    <row r="4" spans="3:3" x14ac:dyDescent="0.25">
      <c r="C4"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1AF9B1A-7CC4-4226-8B38-66477D13B0F7}">
  <ds:schemaRefs/>
</ds:datastoreItem>
</file>

<file path=customXml/itemProps2.xml><?xml version="1.0" encoding="utf-8"?>
<ds:datastoreItem xmlns:ds="http://schemas.openxmlformats.org/officeDocument/2006/customXml" ds:itemID="{61C07E5A-C60A-4A32-B0A2-521BA9630621}">
  <ds:schemaRefs/>
</ds:datastoreItem>
</file>

<file path=customXml/itemProps3.xml><?xml version="1.0" encoding="utf-8"?>
<ds:datastoreItem xmlns:ds="http://schemas.openxmlformats.org/officeDocument/2006/customXml" ds:itemID="{D5A604A6-9646-4F4C-B64A-13C98724DD14}">
  <ds:schemaRefs/>
</ds:datastoreItem>
</file>

<file path=customXml/itemProps4.xml><?xml version="1.0" encoding="utf-8"?>
<ds:datastoreItem xmlns:ds="http://schemas.openxmlformats.org/officeDocument/2006/customXml" ds:itemID="{289632C9-74C4-46CA-9895-0FD1A5843265}">
  <ds:schemaRefs/>
</ds:datastoreItem>
</file>

<file path=customXml/itemProps5.xml><?xml version="1.0" encoding="utf-8"?>
<ds:datastoreItem xmlns:ds="http://schemas.openxmlformats.org/officeDocument/2006/customXml" ds:itemID="{44C98F7E-FC91-43B2-9820-6DD116A067CB}">
  <ds:schemaRefs/>
</ds:datastoreItem>
</file>

<file path=customXml/itemProps6.xml><?xml version="1.0" encoding="utf-8"?>
<ds:datastoreItem xmlns:ds="http://schemas.openxmlformats.org/officeDocument/2006/customXml" ds:itemID="{9699D436-59F3-466A-92D4-7D8737AECA49}">
  <ds:schemaRefs/>
</ds:datastoreItem>
</file>

<file path=customXml/itemProps7.xml><?xml version="1.0" encoding="utf-8"?>
<ds:datastoreItem xmlns:ds="http://schemas.openxmlformats.org/officeDocument/2006/customXml" ds:itemID="{7024B176-816A-4DA7-8D5D-7A9EC64BACC7}">
  <ds:schemaRefs/>
</ds:datastoreItem>
</file>

<file path=customXml/itemProps8.xml><?xml version="1.0" encoding="utf-8"?>
<ds:datastoreItem xmlns:ds="http://schemas.openxmlformats.org/officeDocument/2006/customXml" ds:itemID="{D599AA92-E983-4D7E-8F2C-7B37F1110BB6}">
  <ds:schemaRefs/>
</ds:datastoreItem>
</file>

<file path=customXml/itemProps9.xml><?xml version="1.0" encoding="utf-8"?>
<ds:datastoreItem xmlns:ds="http://schemas.openxmlformats.org/officeDocument/2006/customXml" ds:itemID="{974595AF-EB09-44F6-87AD-2A4DF37910F4}">
  <ds:schemaRefs/>
</ds:datastoreItem>
</file>

<file path=customXml/itemProps10.xml><?xml version="1.0" encoding="utf-8"?>
<ds:datastoreItem xmlns:ds="http://schemas.openxmlformats.org/officeDocument/2006/customXml" ds:itemID="{DA1CC534-E39B-4DB6-960C-44AD35EDF7A6}">
  <ds:schemaRefs/>
</ds:datastoreItem>
</file>

<file path=customXml/itemProps11.xml><?xml version="1.0" encoding="utf-8"?>
<ds:datastoreItem xmlns:ds="http://schemas.openxmlformats.org/officeDocument/2006/customXml" ds:itemID="{58851AF1-235C-4EE1-9271-5AE040103ECC}">
  <ds:schemaRefs/>
</ds:datastoreItem>
</file>

<file path=customXml/itemProps12.xml><?xml version="1.0" encoding="utf-8"?>
<ds:datastoreItem xmlns:ds="http://schemas.openxmlformats.org/officeDocument/2006/customXml" ds:itemID="{1FF541AE-0766-4277-9868-D8320A289BF1}">
  <ds:schemaRefs>
    <ds:schemaRef ds:uri="http://schemas.microsoft.com/DataMashup"/>
  </ds:schemaRefs>
</ds:datastoreItem>
</file>

<file path=customXml/itemProps13.xml><?xml version="1.0" encoding="utf-8"?>
<ds:datastoreItem xmlns:ds="http://schemas.openxmlformats.org/officeDocument/2006/customXml" ds:itemID="{CC1411BA-1A6C-4AAD-BB9B-C41EADE11A61}">
  <ds:schemaRefs/>
</ds:datastoreItem>
</file>

<file path=customXml/itemProps14.xml><?xml version="1.0" encoding="utf-8"?>
<ds:datastoreItem xmlns:ds="http://schemas.openxmlformats.org/officeDocument/2006/customXml" ds:itemID="{78ED49AA-4B33-4A5A-9C11-C02F1FE204E8}">
  <ds:schemaRefs/>
</ds:datastoreItem>
</file>

<file path=customXml/itemProps15.xml><?xml version="1.0" encoding="utf-8"?>
<ds:datastoreItem xmlns:ds="http://schemas.openxmlformats.org/officeDocument/2006/customXml" ds:itemID="{355EF81F-C218-4691-BD89-90FE2C914B6C}">
  <ds:schemaRefs/>
</ds:datastoreItem>
</file>

<file path=customXml/itemProps16.xml><?xml version="1.0" encoding="utf-8"?>
<ds:datastoreItem xmlns:ds="http://schemas.openxmlformats.org/officeDocument/2006/customXml" ds:itemID="{4A865730-E84C-4021-9BB0-FE2198B9E06E}">
  <ds:schemaRefs/>
</ds:datastoreItem>
</file>

<file path=customXml/itemProps17.xml><?xml version="1.0" encoding="utf-8"?>
<ds:datastoreItem xmlns:ds="http://schemas.openxmlformats.org/officeDocument/2006/customXml" ds:itemID="{AAE4FC7C-8B11-482E-A5FA-2864F930C121}">
  <ds:schemaRefs/>
</ds:datastoreItem>
</file>

<file path=customXml/itemProps18.xml><?xml version="1.0" encoding="utf-8"?>
<ds:datastoreItem xmlns:ds="http://schemas.openxmlformats.org/officeDocument/2006/customXml" ds:itemID="{CB0EEF49-F7E8-445A-8FE5-D05F1FB1663A}">
  <ds:schemaRefs/>
</ds:datastoreItem>
</file>

<file path=customXml/itemProps19.xml><?xml version="1.0" encoding="utf-8"?>
<ds:datastoreItem xmlns:ds="http://schemas.openxmlformats.org/officeDocument/2006/customXml" ds:itemID="{C3C102A7-C5BE-4813-A43D-24E0E1C93A79}">
  <ds:schemaRefs/>
</ds:datastoreItem>
</file>

<file path=customXml/itemProps20.xml><?xml version="1.0" encoding="utf-8"?>
<ds:datastoreItem xmlns:ds="http://schemas.openxmlformats.org/officeDocument/2006/customXml" ds:itemID="{8E8081A6-E700-4483-B61B-8F6F0AD6DB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Suryansh Singhwal</dc:creator>
  <cp:lastModifiedBy>Suryansh Singhwal</cp:lastModifiedBy>
  <dcterms:created xsi:type="dcterms:W3CDTF">2026-09-11T12:55:10Z</dcterms:created>
  <dcterms:modified xsi:type="dcterms:W3CDTF">2026-09-12T08:04:46Z</dcterms:modified>
</cp:coreProperties>
</file>